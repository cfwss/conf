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ocuments\Desktop\"/>
    </mc:Choice>
  </mc:AlternateContent>
  <xr:revisionPtr revIDLastSave="0" documentId="13_ncr:1_{17F7A83E-3F8A-450B-8376-C44F39C95206}" xr6:coauthVersionLast="47" xr6:coauthVersionMax="47" xr10:uidLastSave="{00000000-0000-0000-0000-000000000000}"/>
  <bookViews>
    <workbookView xWindow="8532" yWindow="4068" windowWidth="34560" windowHeight="20532" activeTab="5" xr2:uid="{C20061B5-D579-4CEC-984E-D9E8C23C92F3}"/>
  </bookViews>
  <sheets>
    <sheet name="简易（手动）" sheetId="12" r:id="rId1"/>
    <sheet name="节点信息" sheetId="10" r:id="rId2"/>
    <sheet name="优选IP（可查询）" sheetId="11" r:id="rId3"/>
    <sheet name="生成UUID" sheetId="9" r:id="rId4"/>
    <sheet name="域名导入" sheetId="8" r:id="rId5"/>
    <sheet name="建机专用" sheetId="5" r:id="rId6"/>
    <sheet name="PC或火箭" sheetId="1" r:id="rId7"/>
    <sheet name="QUANX" sheetId="4" r:id="rId8"/>
    <sheet name="CLASH" sheetId="3" r:id="rId9"/>
    <sheet name="CLASH (套娃)" sheetId="7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1" l="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C9" i="11"/>
  <c r="D8" i="11"/>
  <c r="C8" i="11"/>
  <c r="D7" i="11"/>
  <c r="C7" i="11"/>
  <c r="D6" i="11"/>
  <c r="C6" i="11"/>
  <c r="D5" i="11"/>
  <c r="C5" i="11"/>
  <c r="D4" i="11"/>
  <c r="C4" i="11"/>
  <c r="D3" i="11"/>
  <c r="C3" i="11"/>
  <c r="D2" i="11"/>
  <c r="C2" i="1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B32" i="3"/>
  <c r="K23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" i="3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" i="12"/>
  <c r="M3" i="11" a="1"/>
  <c r="M6" i="11" a="1"/>
  <c r="M4" i="11" a="1"/>
  <c r="M2" i="11" a="1"/>
  <c r="M7" i="11" a="1"/>
  <c r="M5" i="11" a="1"/>
  <c r="M9" i="11" a="1"/>
  <c r="M8" i="11" a="1"/>
  <c r="M4" i="12" a="1"/>
  <c r="M14" i="12" a="1"/>
  <c r="M12" i="12" a="1"/>
  <c r="M11" i="12" a="1"/>
  <c r="M16" i="12" a="1"/>
  <c r="M19" i="12" a="1"/>
  <c r="M3" i="12" a="1"/>
  <c r="M5" i="12" a="1"/>
  <c r="M15" i="12" a="1"/>
  <c r="M6" i="12" a="1"/>
  <c r="M13" i="12" a="1"/>
  <c r="M18" i="12" a="1"/>
  <c r="M7" i="12" a="1"/>
  <c r="M17" i="12" a="1"/>
  <c r="M8" i="12" a="1"/>
  <c r="M10" i="12" a="1"/>
  <c r="M9" i="12" a="1"/>
  <c r="M2" i="12" a="1"/>
  <c r="B15" i="7" a="1"/>
  <c r="B12" i="7" a="1"/>
  <c r="B11" i="7" a="1"/>
  <c r="B5" i="7" a="1"/>
  <c r="B16" i="7" a="1"/>
  <c r="B6" i="7" a="1"/>
  <c r="B10" i="7" a="1"/>
  <c r="B4" i="7" a="1"/>
  <c r="B8" i="7" a="1"/>
  <c r="B17" i="7" a="1"/>
  <c r="B7" i="7" a="1"/>
  <c r="B13" i="7" a="1"/>
  <c r="B14" i="7" a="1"/>
  <c r="B18" i="7" a="1"/>
  <c r="B20" i="7" a="1"/>
  <c r="B21" i="7" a="1"/>
  <c r="B9" i="7" a="1"/>
  <c r="B3" i="7" a="1"/>
  <c r="B19" i="7" a="1"/>
  <c r="G24" i="3" l="1"/>
  <c r="G23" i="3"/>
  <c r="I23" i="3"/>
  <c r="B21" i="7"/>
  <c r="B18" i="7"/>
  <c r="B16" i="7"/>
  <c r="B14" i="7"/>
  <c r="B12" i="7"/>
  <c r="B10" i="7"/>
  <c r="B8" i="7"/>
  <c r="B6" i="7"/>
  <c r="B4" i="7"/>
  <c r="B20" i="7"/>
  <c r="B19" i="7"/>
  <c r="B17" i="7"/>
  <c r="B15" i="7"/>
  <c r="B13" i="7"/>
  <c r="B11" i="7"/>
  <c r="B9" i="7"/>
  <c r="B7" i="7"/>
  <c r="B5" i="7"/>
  <c r="B3" i="7"/>
  <c r="M6" i="11"/>
  <c r="M9" i="11"/>
  <c r="M5" i="11"/>
  <c r="M4" i="11"/>
  <c r="M8" i="11"/>
  <c r="M7" i="11"/>
  <c r="M3" i="11"/>
  <c r="M2" i="11"/>
  <c r="M11" i="12"/>
  <c r="M9" i="12"/>
  <c r="M19" i="12"/>
  <c r="M14" i="12"/>
  <c r="M13" i="12"/>
  <c r="M5" i="12"/>
  <c r="M10" i="12"/>
  <c r="M17" i="12"/>
  <c r="M12" i="12"/>
  <c r="M4" i="12"/>
  <c r="M15" i="12"/>
  <c r="M18" i="12"/>
  <c r="M6" i="12"/>
  <c r="M16" i="12"/>
  <c r="M8" i="12"/>
  <c r="M7" i="12"/>
  <c r="M3" i="12"/>
  <c r="M2" i="12"/>
  <c r="L19" i="12"/>
  <c r="K19" i="12"/>
  <c r="J19" i="12"/>
  <c r="L18" i="12"/>
  <c r="K18" i="12"/>
  <c r="J18" i="12"/>
  <c r="L17" i="12"/>
  <c r="K17" i="12"/>
  <c r="J17" i="12"/>
  <c r="L16" i="12"/>
  <c r="K16" i="12"/>
  <c r="J16" i="12"/>
  <c r="L15" i="12"/>
  <c r="K15" i="12"/>
  <c r="J15" i="12"/>
  <c r="L14" i="12"/>
  <c r="K14" i="12"/>
  <c r="J14" i="12"/>
  <c r="L13" i="12"/>
  <c r="K13" i="12"/>
  <c r="J13" i="12"/>
  <c r="L12" i="12"/>
  <c r="K12" i="12"/>
  <c r="J12" i="12"/>
  <c r="L11" i="12"/>
  <c r="K11" i="12"/>
  <c r="J11" i="12"/>
  <c r="L10" i="12"/>
  <c r="K10" i="12"/>
  <c r="J10" i="12"/>
  <c r="L9" i="12"/>
  <c r="K9" i="12"/>
  <c r="J9" i="12"/>
  <c r="L8" i="12"/>
  <c r="K8" i="12"/>
  <c r="J8" i="12"/>
  <c r="L7" i="12"/>
  <c r="K7" i="12"/>
  <c r="J7" i="12"/>
  <c r="L6" i="12"/>
  <c r="K6" i="12"/>
  <c r="J6" i="12"/>
  <c r="L5" i="12"/>
  <c r="K5" i="12"/>
  <c r="J5" i="12"/>
  <c r="L4" i="12"/>
  <c r="K4" i="12"/>
  <c r="J4" i="12"/>
  <c r="L3" i="12"/>
  <c r="K3" i="12"/>
  <c r="J3" i="12"/>
  <c r="L2" i="12"/>
  <c r="K2" i="12"/>
  <c r="J2" i="12"/>
  <c r="C8" i="7" a="1"/>
  <c r="C13" i="7" a="1"/>
  <c r="C9" i="7" a="1"/>
  <c r="C18" i="7" a="1"/>
  <c r="C19" i="7" a="1"/>
  <c r="C21" i="7" a="1"/>
  <c r="C10" i="7" a="1"/>
  <c r="C11" i="7" a="1"/>
  <c r="C7" i="7" a="1"/>
  <c r="C6" i="7" a="1"/>
  <c r="C4" i="7" a="1"/>
  <c r="C5" i="7" a="1"/>
  <c r="C16" i="7" a="1"/>
  <c r="C3" i="7" a="1"/>
  <c r="C17" i="7" a="1"/>
  <c r="C15" i="7" a="1"/>
  <c r="C20" i="7" a="1"/>
  <c r="C14" i="7" a="1"/>
  <c r="C12" i="7" a="1"/>
  <c r="C12" i="7" l="1"/>
  <c r="C10" i="7"/>
  <c r="C3" i="7"/>
  <c r="C19" i="7"/>
  <c r="C14" i="7"/>
  <c r="C8" i="7"/>
  <c r="C13" i="7"/>
  <c r="C15" i="7"/>
  <c r="C17" i="7"/>
  <c r="C5" i="7"/>
  <c r="C16" i="7"/>
  <c r="C7" i="7"/>
  <c r="C20" i="7"/>
  <c r="C18" i="7"/>
  <c r="C21" i="7"/>
  <c r="C9" i="7"/>
  <c r="C4" i="7"/>
  <c r="C11" i="7"/>
  <c r="C6" i="7"/>
  <c r="O3" i="12"/>
  <c r="I3" i="12"/>
  <c r="H3" i="12"/>
  <c r="O5" i="12"/>
  <c r="H5" i="12"/>
  <c r="I5" i="12"/>
  <c r="O7" i="12"/>
  <c r="H7" i="12"/>
  <c r="I7" i="12"/>
  <c r="N9" i="12"/>
  <c r="I9" i="12"/>
  <c r="H9" i="12"/>
  <c r="O11" i="12"/>
  <c r="I11" i="12"/>
  <c r="H11" i="12"/>
  <c r="O13" i="12"/>
  <c r="I13" i="12"/>
  <c r="H13" i="12"/>
  <c r="O15" i="12"/>
  <c r="H15" i="12"/>
  <c r="I15" i="12"/>
  <c r="O17" i="12"/>
  <c r="I17" i="12"/>
  <c r="H17" i="12"/>
  <c r="O19" i="12"/>
  <c r="H19" i="12"/>
  <c r="I19" i="12"/>
  <c r="N2" i="12"/>
  <c r="I2" i="12"/>
  <c r="H2" i="12"/>
  <c r="O4" i="12"/>
  <c r="I4" i="12"/>
  <c r="H4" i="12"/>
  <c r="O6" i="12"/>
  <c r="H6" i="12"/>
  <c r="I6" i="12"/>
  <c r="O8" i="12"/>
  <c r="H8" i="12"/>
  <c r="I8" i="12"/>
  <c r="N10" i="12"/>
  <c r="I10" i="12"/>
  <c r="H10" i="12"/>
  <c r="O12" i="12"/>
  <c r="I12" i="12"/>
  <c r="H12" i="12"/>
  <c r="O14" i="12"/>
  <c r="H14" i="12"/>
  <c r="I14" i="12"/>
  <c r="N16" i="12"/>
  <c r="H16" i="12"/>
  <c r="I16" i="12"/>
  <c r="N18" i="12"/>
  <c r="I18" i="12"/>
  <c r="H18" i="12"/>
  <c r="O16" i="12"/>
  <c r="O18" i="12"/>
  <c r="O9" i="12"/>
  <c r="N15" i="12"/>
  <c r="O2" i="12"/>
  <c r="N8" i="12"/>
  <c r="O10" i="12"/>
  <c r="N17" i="12"/>
  <c r="N7" i="12"/>
  <c r="N6" i="12"/>
  <c r="N14" i="12"/>
  <c r="N5" i="12"/>
  <c r="N13" i="12"/>
  <c r="N4" i="12"/>
  <c r="N12" i="12"/>
  <c r="N3" i="12"/>
  <c r="N11" i="12"/>
  <c r="N19" i="12"/>
  <c r="B27" i="11" a="1"/>
  <c r="B27" i="11" s="1"/>
  <c r="B26" i="11" a="1"/>
  <c r="B26" i="11" s="1"/>
  <c r="B25" i="11" a="1"/>
  <c r="B25" i="11" s="1"/>
  <c r="B24" i="11" a="1"/>
  <c r="B24" i="11" s="1"/>
  <c r="B23" i="11" a="1"/>
  <c r="B23" i="11" s="1"/>
  <c r="B22" i="11" a="1"/>
  <c r="B22" i="11" s="1"/>
  <c r="B21" i="11" a="1"/>
  <c r="B21" i="11" s="1"/>
  <c r="B20" i="11" a="1"/>
  <c r="B20" i="11" s="1"/>
  <c r="B19" i="11" a="1"/>
  <c r="B19" i="11" s="1"/>
  <c r="B18" i="11" a="1"/>
  <c r="B18" i="11" s="1"/>
  <c r="B17" i="11" a="1"/>
  <c r="B17" i="11" s="1"/>
  <c r="B16" i="11" a="1"/>
  <c r="B16" i="11" s="1"/>
  <c r="B15" i="11" a="1"/>
  <c r="B15" i="11" s="1"/>
  <c r="B14" i="11" a="1"/>
  <c r="B14" i="11" s="1"/>
  <c r="B13" i="11" a="1"/>
  <c r="B13" i="11" s="1"/>
  <c r="B12" i="11" a="1"/>
  <c r="B12" i="11" s="1"/>
  <c r="B11" i="11" a="1"/>
  <c r="B11" i="11" s="1"/>
  <c r="B10" i="11" a="1"/>
  <c r="B10" i="11" s="1"/>
  <c r="B2" i="11" a="1"/>
  <c r="B2" i="11" s="1"/>
  <c r="B4" i="11" a="1"/>
  <c r="B4" i="11" s="1"/>
  <c r="B5" i="11" a="1"/>
  <c r="B5" i="11" s="1"/>
  <c r="B6" i="11" a="1"/>
  <c r="B6" i="11" s="1"/>
  <c r="B7" i="11" a="1"/>
  <c r="B7" i="11" s="1"/>
  <c r="B8" i="11" a="1"/>
  <c r="B8" i="11" s="1"/>
  <c r="B9" i="11" a="1"/>
  <c r="B9" i="11" s="1"/>
  <c r="B3" i="11" a="1"/>
  <c r="B3" i="11" s="1"/>
  <c r="B15" i="9"/>
  <c r="B30" i="9"/>
  <c r="B27" i="9"/>
  <c r="G4" i="7" l="1"/>
  <c r="I4" i="7"/>
  <c r="K4" i="7"/>
  <c r="I5" i="7"/>
  <c r="K5" i="7"/>
  <c r="G5" i="7"/>
  <c r="F10" i="7"/>
  <c r="G10" i="7"/>
  <c r="H10" i="7"/>
  <c r="I10" i="7"/>
  <c r="K10" i="7"/>
  <c r="I21" i="7"/>
  <c r="K21" i="7"/>
  <c r="G21" i="7"/>
  <c r="I15" i="7"/>
  <c r="K15" i="7"/>
  <c r="F15" i="7"/>
  <c r="G15" i="7"/>
  <c r="G18" i="7"/>
  <c r="I18" i="7"/>
  <c r="K18" i="7"/>
  <c r="I13" i="7"/>
  <c r="K13" i="7"/>
  <c r="G13" i="7"/>
  <c r="G20" i="7"/>
  <c r="I20" i="7"/>
  <c r="K20" i="7"/>
  <c r="G8" i="7"/>
  <c r="I8" i="7"/>
  <c r="K8" i="7"/>
  <c r="I7" i="7"/>
  <c r="K7" i="7"/>
  <c r="G7" i="7"/>
  <c r="G14" i="7"/>
  <c r="I14" i="7"/>
  <c r="K14" i="7"/>
  <c r="G6" i="7"/>
  <c r="I6" i="7"/>
  <c r="K6" i="7"/>
  <c r="G16" i="7"/>
  <c r="I16" i="7"/>
  <c r="K16" i="7"/>
  <c r="I19" i="7"/>
  <c r="J19" i="7"/>
  <c r="K19" i="7"/>
  <c r="G19" i="7"/>
  <c r="I11" i="7"/>
  <c r="F11" i="7"/>
  <c r="K11" i="7"/>
  <c r="G11" i="7"/>
  <c r="I3" i="7"/>
  <c r="K3" i="7"/>
  <c r="G3" i="7"/>
  <c r="I9" i="7"/>
  <c r="K9" i="7"/>
  <c r="F9" i="7"/>
  <c r="G9" i="7"/>
  <c r="H17" i="7"/>
  <c r="I17" i="7"/>
  <c r="K17" i="7"/>
  <c r="G17" i="7"/>
  <c r="G12" i="7"/>
  <c r="H12" i="7"/>
  <c r="J12" i="7"/>
  <c r="I12" i="7"/>
  <c r="K12" i="7"/>
  <c r="G7" i="11"/>
  <c r="C23" i="11"/>
  <c r="L23" i="11"/>
  <c r="C10" i="11"/>
  <c r="C19" i="11"/>
  <c r="C11" i="11"/>
  <c r="C16" i="11"/>
  <c r="C12" i="11"/>
  <c r="C17" i="11"/>
  <c r="C24" i="11"/>
  <c r="C18" i="11"/>
  <c r="C25" i="11"/>
  <c r="C20" i="11"/>
  <c r="C21" i="11"/>
  <c r="C27" i="11"/>
  <c r="C26" i="11"/>
  <c r="C13" i="11"/>
  <c r="C14" i="11"/>
  <c r="C15" i="11"/>
  <c r="C22" i="11"/>
  <c r="H23" i="11"/>
  <c r="E1" i="7"/>
  <c r="A1" i="1"/>
  <c r="A1" i="4"/>
  <c r="A1" i="3"/>
  <c r="A1" i="7"/>
  <c r="D1" i="7"/>
  <c r="C1" i="7"/>
  <c r="B1" i="7"/>
  <c r="D1" i="3"/>
  <c r="C1" i="3"/>
  <c r="B1" i="3"/>
  <c r="D1" i="4"/>
  <c r="C1" i="4"/>
  <c r="B1" i="4"/>
  <c r="C1" i="1"/>
  <c r="D1" i="1"/>
  <c r="B1" i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" i="5"/>
  <c r="B3" i="9"/>
  <c r="B4" i="9"/>
  <c r="B5" i="9"/>
  <c r="B6" i="9"/>
  <c r="B7" i="9"/>
  <c r="B8" i="9"/>
  <c r="B9" i="9"/>
  <c r="B10" i="9"/>
  <c r="B11" i="9"/>
  <c r="B12" i="9"/>
  <c r="B13" i="9"/>
  <c r="B14" i="9"/>
  <c r="B16" i="9"/>
  <c r="B17" i="9"/>
  <c r="B18" i="9"/>
  <c r="B19" i="9"/>
  <c r="B20" i="9"/>
  <c r="B21" i="9"/>
  <c r="B22" i="9"/>
  <c r="B23" i="9"/>
  <c r="B24" i="9"/>
  <c r="B25" i="9"/>
  <c r="B26" i="9"/>
  <c r="B28" i="9"/>
  <c r="B29" i="9"/>
  <c r="B31" i="9"/>
  <c r="B2" i="9"/>
  <c r="B21" i="3"/>
  <c r="E2" i="7"/>
  <c r="K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" i="8"/>
  <c r="B2" i="8"/>
  <c r="A2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" i="5"/>
  <c r="F6" i="5"/>
  <c r="D3" i="5"/>
  <c r="D3" i="7" s="1"/>
  <c r="J3" i="7" s="1"/>
  <c r="D4" i="5"/>
  <c r="D4" i="7" s="1"/>
  <c r="J4" i="7" s="1"/>
  <c r="D5" i="5"/>
  <c r="D5" i="7" s="1"/>
  <c r="J5" i="7" s="1"/>
  <c r="D6" i="5"/>
  <c r="D6" i="7" s="1"/>
  <c r="F6" i="7" s="1"/>
  <c r="D7" i="5"/>
  <c r="D7" i="7" s="1"/>
  <c r="F7" i="7" s="1"/>
  <c r="D8" i="5"/>
  <c r="D8" i="7" s="1"/>
  <c r="F8" i="7" s="1"/>
  <c r="D9" i="5"/>
  <c r="D9" i="7" s="1"/>
  <c r="H9" i="7" s="1"/>
  <c r="D10" i="5"/>
  <c r="D10" i="7" s="1"/>
  <c r="J10" i="7" s="1"/>
  <c r="D11" i="5"/>
  <c r="D11" i="7" s="1"/>
  <c r="H11" i="7" s="1"/>
  <c r="D12" i="5"/>
  <c r="D12" i="7" s="1"/>
  <c r="F12" i="7" s="1"/>
  <c r="D13" i="5"/>
  <c r="D13" i="7" s="1"/>
  <c r="F13" i="7" s="1"/>
  <c r="D14" i="5"/>
  <c r="D14" i="7" s="1"/>
  <c r="J14" i="7" s="1"/>
  <c r="D15" i="5"/>
  <c r="D15" i="7" s="1"/>
  <c r="H15" i="7" s="1"/>
  <c r="D16" i="5"/>
  <c r="D16" i="7" s="1"/>
  <c r="F16" i="7" s="1"/>
  <c r="D17" i="5"/>
  <c r="D17" i="7" s="1"/>
  <c r="J17" i="7" s="1"/>
  <c r="D18" i="5"/>
  <c r="D18" i="7" s="1"/>
  <c r="J18" i="7" s="1"/>
  <c r="D19" i="5"/>
  <c r="D19" i="7" s="1"/>
  <c r="F19" i="7" s="1"/>
  <c r="D20" i="5"/>
  <c r="D21" i="5"/>
  <c r="D21" i="7" s="1"/>
  <c r="J21" i="7" s="1"/>
  <c r="D2" i="5"/>
  <c r="D2" i="7" s="1"/>
  <c r="E20" i="4"/>
  <c r="E21" i="4"/>
  <c r="E20" i="3"/>
  <c r="E21" i="3"/>
  <c r="M6" i="5" a="1"/>
  <c r="M16" i="11" a="1"/>
  <c r="M27" i="11" a="1"/>
  <c r="M26" i="11" a="1"/>
  <c r="M17" i="11" a="1"/>
  <c r="M13" i="11" a="1"/>
  <c r="M23" i="11" a="1"/>
  <c r="M24" i="11" a="1"/>
  <c r="M14" i="11" a="1"/>
  <c r="M18" i="11" a="1"/>
  <c r="M15" i="11" a="1"/>
  <c r="M10" i="11" a="1"/>
  <c r="M25" i="11" a="1"/>
  <c r="M19" i="11" a="1"/>
  <c r="M11" i="11" a="1"/>
  <c r="M21" i="11" a="1"/>
  <c r="B2" i="7" a="1"/>
  <c r="J11" i="7" l="1"/>
  <c r="H7" i="7"/>
  <c r="J13" i="7"/>
  <c r="F18" i="7"/>
  <c r="F21" i="7"/>
  <c r="H5" i="7"/>
  <c r="D20" i="1"/>
  <c r="D20" i="7"/>
  <c r="F3" i="7"/>
  <c r="H6" i="7"/>
  <c r="F14" i="7"/>
  <c r="H19" i="7"/>
  <c r="H16" i="7"/>
  <c r="J6" i="7"/>
  <c r="H8" i="7"/>
  <c r="H4" i="7"/>
  <c r="H14" i="7"/>
  <c r="H13" i="7"/>
  <c r="F17" i="7"/>
  <c r="J9" i="7"/>
  <c r="H3" i="7"/>
  <c r="J15" i="7"/>
  <c r="H21" i="7"/>
  <c r="F5" i="7"/>
  <c r="J16" i="7"/>
  <c r="J7" i="7"/>
  <c r="J8" i="7"/>
  <c r="H18" i="7"/>
  <c r="F4" i="7"/>
  <c r="H21" i="3"/>
  <c r="G4" i="5"/>
  <c r="M6" i="5"/>
  <c r="M21" i="11"/>
  <c r="M11" i="11"/>
  <c r="M19" i="11"/>
  <c r="M25" i="11"/>
  <c r="M10" i="11"/>
  <c r="M15" i="11"/>
  <c r="M18" i="11"/>
  <c r="M14" i="11"/>
  <c r="M24" i="11"/>
  <c r="M23" i="11"/>
  <c r="M13" i="11"/>
  <c r="M17" i="11"/>
  <c r="M26" i="11"/>
  <c r="M27" i="11"/>
  <c r="M16" i="11"/>
  <c r="G20" i="11"/>
  <c r="G22" i="11"/>
  <c r="G12" i="11"/>
  <c r="G11" i="11"/>
  <c r="F19" i="5"/>
  <c r="I19" i="5" s="1"/>
  <c r="G19" i="5"/>
  <c r="F11" i="5"/>
  <c r="G11" i="5"/>
  <c r="F3" i="5"/>
  <c r="G3" i="5"/>
  <c r="H21" i="8"/>
  <c r="G21" i="5"/>
  <c r="H5" i="8"/>
  <c r="G5" i="5"/>
  <c r="H13" i="8"/>
  <c r="G13" i="5"/>
  <c r="F18" i="5"/>
  <c r="G18" i="5"/>
  <c r="F16" i="5"/>
  <c r="G16" i="5"/>
  <c r="F8" i="5"/>
  <c r="G8" i="5"/>
  <c r="F9" i="5"/>
  <c r="I9" i="5" s="1"/>
  <c r="G9" i="5"/>
  <c r="F15" i="5"/>
  <c r="G15" i="5"/>
  <c r="F7" i="5"/>
  <c r="G7" i="5"/>
  <c r="F20" i="5"/>
  <c r="I20" i="5" s="1"/>
  <c r="G20" i="5"/>
  <c r="F12" i="5"/>
  <c r="G12" i="5"/>
  <c r="F10" i="5"/>
  <c r="G10" i="5"/>
  <c r="F17" i="5"/>
  <c r="G17" i="5"/>
  <c r="F2" i="5"/>
  <c r="G2" i="5"/>
  <c r="C14" i="8"/>
  <c r="G14" i="5"/>
  <c r="C6" i="8"/>
  <c r="G6" i="5"/>
  <c r="I27" i="11"/>
  <c r="G27" i="11"/>
  <c r="G16" i="11"/>
  <c r="H9" i="11"/>
  <c r="G9" i="11"/>
  <c r="G6" i="11"/>
  <c r="I15" i="11"/>
  <c r="G15" i="11"/>
  <c r="G19" i="11"/>
  <c r="G14" i="11"/>
  <c r="G25" i="11"/>
  <c r="H10" i="11"/>
  <c r="G10" i="11"/>
  <c r="G3" i="11"/>
  <c r="G2" i="11"/>
  <c r="G21" i="11"/>
  <c r="J18" i="11"/>
  <c r="G18" i="11"/>
  <c r="G13" i="11"/>
  <c r="G24" i="11"/>
  <c r="G23" i="11"/>
  <c r="G5" i="11"/>
  <c r="G26" i="11"/>
  <c r="H17" i="11"/>
  <c r="G17" i="11"/>
  <c r="G4" i="11"/>
  <c r="I8" i="11"/>
  <c r="G8" i="11"/>
  <c r="B2" i="7"/>
  <c r="H7" i="5"/>
  <c r="H16" i="5"/>
  <c r="I2" i="5"/>
  <c r="H6" i="5"/>
  <c r="I6" i="5"/>
  <c r="B20" i="1"/>
  <c r="H12" i="5"/>
  <c r="I12" i="5"/>
  <c r="H3" i="5"/>
  <c r="I18" i="5"/>
  <c r="I10" i="5"/>
  <c r="I23" i="11"/>
  <c r="J20" i="11"/>
  <c r="L4" i="11"/>
  <c r="A4" i="8"/>
  <c r="J4" i="11"/>
  <c r="K4" i="11"/>
  <c r="N21" i="11"/>
  <c r="N23" i="11"/>
  <c r="O9" i="11"/>
  <c r="O4" i="11"/>
  <c r="O8" i="11"/>
  <c r="G3" i="8"/>
  <c r="G8" i="8"/>
  <c r="G18" i="8"/>
  <c r="G6" i="8"/>
  <c r="G17" i="8"/>
  <c r="D20" i="4"/>
  <c r="F14" i="5"/>
  <c r="J8" i="8"/>
  <c r="J14" i="8"/>
  <c r="L12" i="11"/>
  <c r="K12" i="11"/>
  <c r="O23" i="11"/>
  <c r="K18" i="11"/>
  <c r="J10" i="11"/>
  <c r="K20" i="11"/>
  <c r="K9" i="11"/>
  <c r="K10" i="11"/>
  <c r="K21" i="11"/>
  <c r="L20" i="11"/>
  <c r="L16" i="11"/>
  <c r="K26" i="11"/>
  <c r="L26" i="11"/>
  <c r="K23" i="11"/>
  <c r="L17" i="11"/>
  <c r="L24" i="11"/>
  <c r="L7" i="11"/>
  <c r="J27" i="11"/>
  <c r="J16" i="11"/>
  <c r="K7" i="11"/>
  <c r="J23" i="11"/>
  <c r="J12" i="11"/>
  <c r="L6" i="11"/>
  <c r="O17" i="11"/>
  <c r="N9" i="11"/>
  <c r="N27" i="11"/>
  <c r="J22" i="11"/>
  <c r="L22" i="11"/>
  <c r="K22" i="11"/>
  <c r="L27" i="11"/>
  <c r="K5" i="11"/>
  <c r="J19" i="11"/>
  <c r="J13" i="11"/>
  <c r="L8" i="11"/>
  <c r="K15" i="11"/>
  <c r="J15" i="11"/>
  <c r="K6" i="11"/>
  <c r="L5" i="11"/>
  <c r="J25" i="11"/>
  <c r="K13" i="11"/>
  <c r="J8" i="11"/>
  <c r="L18" i="11"/>
  <c r="K24" i="11"/>
  <c r="J3" i="11"/>
  <c r="K2" i="11"/>
  <c r="L15" i="11"/>
  <c r="K25" i="11"/>
  <c r="K19" i="11"/>
  <c r="K11" i="11"/>
  <c r="J24" i="11"/>
  <c r="J2" i="11"/>
  <c r="L21" i="11"/>
  <c r="L25" i="11"/>
  <c r="L19" i="11"/>
  <c r="L13" i="11"/>
  <c r="J17" i="11"/>
  <c r="L11" i="11"/>
  <c r="L10" i="11"/>
  <c r="L2" i="11"/>
  <c r="L14" i="11"/>
  <c r="K14" i="11"/>
  <c r="J14" i="11"/>
  <c r="J7" i="11"/>
  <c r="K16" i="11"/>
  <c r="J26" i="11"/>
  <c r="J11" i="11"/>
  <c r="K3" i="11"/>
  <c r="J9" i="11"/>
  <c r="N4" i="11"/>
  <c r="K27" i="11"/>
  <c r="J21" i="11"/>
  <c r="J6" i="11"/>
  <c r="J5" i="11"/>
  <c r="K8" i="11"/>
  <c r="K17" i="11"/>
  <c r="L3" i="11"/>
  <c r="L9" i="11"/>
  <c r="A8" i="8"/>
  <c r="B14" i="8"/>
  <c r="B6" i="8"/>
  <c r="J18" i="8"/>
  <c r="A18" i="8"/>
  <c r="D16" i="8"/>
  <c r="H2" i="8"/>
  <c r="J6" i="8"/>
  <c r="A17" i="8"/>
  <c r="C16" i="8"/>
  <c r="I2" i="8"/>
  <c r="A10" i="8"/>
  <c r="D8" i="8"/>
  <c r="J16" i="8"/>
  <c r="J10" i="8"/>
  <c r="A9" i="8"/>
  <c r="C8" i="8"/>
  <c r="B21" i="4"/>
  <c r="B21" i="1"/>
  <c r="B20" i="3"/>
  <c r="B20" i="4"/>
  <c r="G20" i="4" s="1"/>
  <c r="D20" i="8"/>
  <c r="D12" i="8"/>
  <c r="D4" i="8"/>
  <c r="B21" i="8"/>
  <c r="C4" i="8"/>
  <c r="J20" i="8"/>
  <c r="J4" i="8"/>
  <c r="B13" i="8"/>
  <c r="A16" i="8"/>
  <c r="B20" i="8"/>
  <c r="B12" i="8"/>
  <c r="B4" i="8"/>
  <c r="D19" i="8"/>
  <c r="D15" i="8"/>
  <c r="D11" i="8"/>
  <c r="D7" i="8"/>
  <c r="D3" i="8"/>
  <c r="J2" i="8"/>
  <c r="I20" i="8"/>
  <c r="I18" i="8"/>
  <c r="I16" i="8"/>
  <c r="I14" i="8"/>
  <c r="I12" i="8"/>
  <c r="I10" i="8"/>
  <c r="I8" i="8"/>
  <c r="I6" i="8"/>
  <c r="I4" i="8"/>
  <c r="F4" i="5"/>
  <c r="A2" i="8"/>
  <c r="A15" i="8"/>
  <c r="A7" i="8"/>
  <c r="B19" i="8"/>
  <c r="B11" i="8"/>
  <c r="B3" i="8"/>
  <c r="C19" i="8"/>
  <c r="C15" i="8"/>
  <c r="C11" i="8"/>
  <c r="C7" i="8"/>
  <c r="C3" i="8"/>
  <c r="H20" i="8"/>
  <c r="H18" i="8"/>
  <c r="H16" i="8"/>
  <c r="H14" i="8"/>
  <c r="H12" i="8"/>
  <c r="H10" i="8"/>
  <c r="H8" i="8"/>
  <c r="H6" i="8"/>
  <c r="H4" i="8"/>
  <c r="F13" i="5"/>
  <c r="B5" i="8"/>
  <c r="C12" i="8"/>
  <c r="A14" i="8"/>
  <c r="A6" i="8"/>
  <c r="B18" i="8"/>
  <c r="B10" i="8"/>
  <c r="C2" i="8"/>
  <c r="D18" i="8"/>
  <c r="D14" i="8"/>
  <c r="D10" i="8"/>
  <c r="D6" i="8"/>
  <c r="A21" i="8"/>
  <c r="A13" i="8"/>
  <c r="A5" i="8"/>
  <c r="B17" i="8"/>
  <c r="B9" i="8"/>
  <c r="D2" i="8"/>
  <c r="C18" i="8"/>
  <c r="C10" i="8"/>
  <c r="J21" i="8"/>
  <c r="J19" i="8"/>
  <c r="J17" i="8"/>
  <c r="J15" i="8"/>
  <c r="J13" i="8"/>
  <c r="J11" i="8"/>
  <c r="J9" i="8"/>
  <c r="J7" i="8"/>
  <c r="J5" i="8"/>
  <c r="J3" i="8"/>
  <c r="C20" i="8"/>
  <c r="A20" i="8"/>
  <c r="A12" i="8"/>
  <c r="B16" i="8"/>
  <c r="B8" i="8"/>
  <c r="D21" i="8"/>
  <c r="D17" i="8"/>
  <c r="D13" i="8"/>
  <c r="D9" i="8"/>
  <c r="D5" i="8"/>
  <c r="I21" i="8"/>
  <c r="I19" i="8"/>
  <c r="I17" i="8"/>
  <c r="I15" i="8"/>
  <c r="I13" i="8"/>
  <c r="I11" i="8"/>
  <c r="I9" i="8"/>
  <c r="I7" i="8"/>
  <c r="I5" i="8"/>
  <c r="I3" i="8"/>
  <c r="C20" i="4"/>
  <c r="J12" i="8"/>
  <c r="F5" i="5"/>
  <c r="I5" i="5" s="1"/>
  <c r="C21" i="3"/>
  <c r="G21" i="3" s="1"/>
  <c r="F21" i="5"/>
  <c r="A19" i="8"/>
  <c r="A11" i="8"/>
  <c r="A3" i="8"/>
  <c r="B15" i="8"/>
  <c r="B7" i="8"/>
  <c r="C21" i="8"/>
  <c r="C17" i="8"/>
  <c r="C13" i="8"/>
  <c r="C9" i="8"/>
  <c r="C5" i="8"/>
  <c r="H19" i="8"/>
  <c r="H17" i="8"/>
  <c r="H15" i="8"/>
  <c r="H11" i="8"/>
  <c r="H9" i="8"/>
  <c r="H7" i="8"/>
  <c r="H3" i="8"/>
  <c r="D20" i="3"/>
  <c r="H20" i="3" s="1"/>
  <c r="L20" i="5"/>
  <c r="O20" i="5"/>
  <c r="C21" i="1"/>
  <c r="L21" i="5"/>
  <c r="K21" i="5"/>
  <c r="C21" i="4"/>
  <c r="C20" i="1"/>
  <c r="C20" i="3"/>
  <c r="G20" i="3" s="1"/>
  <c r="D21" i="1"/>
  <c r="K20" i="5"/>
  <c r="J20" i="5"/>
  <c r="D21" i="3"/>
  <c r="J21" i="5"/>
  <c r="D21" i="4"/>
  <c r="O6" i="5"/>
  <c r="F8" i="4"/>
  <c r="O11" i="5"/>
  <c r="O12" i="5"/>
  <c r="F15" i="4"/>
  <c r="F16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" i="4"/>
  <c r="D2" i="1"/>
  <c r="D2" i="4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" i="3"/>
  <c r="E3" i="3"/>
  <c r="E4" i="3"/>
  <c r="E5" i="3"/>
  <c r="H5" i="3" s="1"/>
  <c r="E6" i="3"/>
  <c r="H6" i="3" s="1"/>
  <c r="E7" i="3"/>
  <c r="H7" i="3" s="1"/>
  <c r="E8" i="3"/>
  <c r="E9" i="3"/>
  <c r="E10" i="3"/>
  <c r="H10" i="3" s="1"/>
  <c r="E11" i="3"/>
  <c r="E12" i="3"/>
  <c r="E13" i="3"/>
  <c r="H13" i="3" s="1"/>
  <c r="E14" i="3"/>
  <c r="H14" i="3" s="1"/>
  <c r="E15" i="3"/>
  <c r="H15" i="3" s="1"/>
  <c r="E16" i="3"/>
  <c r="E17" i="3"/>
  <c r="E18" i="3"/>
  <c r="H18" i="3" s="1"/>
  <c r="E19" i="3"/>
  <c r="E2" i="3"/>
  <c r="B3" i="3"/>
  <c r="C3" i="3"/>
  <c r="B4" i="3"/>
  <c r="C4" i="3"/>
  <c r="K4" i="3" s="1"/>
  <c r="B5" i="3"/>
  <c r="C5" i="3"/>
  <c r="K5" i="3" s="1"/>
  <c r="B6" i="3"/>
  <c r="C6" i="3"/>
  <c r="K6" i="3" s="1"/>
  <c r="B7" i="3"/>
  <c r="C7" i="3"/>
  <c r="B8" i="3"/>
  <c r="C8" i="3"/>
  <c r="B9" i="3"/>
  <c r="C9" i="3"/>
  <c r="K9" i="3" s="1"/>
  <c r="B10" i="3"/>
  <c r="C10" i="3"/>
  <c r="K10" i="3" s="1"/>
  <c r="B11" i="3"/>
  <c r="C11" i="3"/>
  <c r="G11" i="3" s="1"/>
  <c r="B12" i="3"/>
  <c r="C12" i="3"/>
  <c r="K12" i="3" s="1"/>
  <c r="B13" i="3"/>
  <c r="C13" i="3"/>
  <c r="K13" i="3" s="1"/>
  <c r="B14" i="3"/>
  <c r="C14" i="3"/>
  <c r="K14" i="3" s="1"/>
  <c r="B15" i="3"/>
  <c r="C15" i="3"/>
  <c r="B16" i="3"/>
  <c r="C16" i="3"/>
  <c r="B17" i="3"/>
  <c r="C17" i="3"/>
  <c r="K17" i="3" s="1"/>
  <c r="B18" i="3"/>
  <c r="C18" i="3"/>
  <c r="K18" i="3" s="1"/>
  <c r="B19" i="3"/>
  <c r="C19" i="3"/>
  <c r="C2" i="3"/>
  <c r="K2" i="3" s="1"/>
  <c r="B2" i="3"/>
  <c r="B3" i="4"/>
  <c r="C3" i="4"/>
  <c r="D3" i="4"/>
  <c r="B4" i="4"/>
  <c r="C4" i="4"/>
  <c r="D4" i="4"/>
  <c r="B5" i="4"/>
  <c r="C5" i="4"/>
  <c r="D5" i="4"/>
  <c r="B6" i="4"/>
  <c r="C6" i="4"/>
  <c r="D6" i="4"/>
  <c r="B7" i="4"/>
  <c r="C7" i="4"/>
  <c r="D7" i="4"/>
  <c r="B8" i="4"/>
  <c r="C8" i="4"/>
  <c r="D8" i="4"/>
  <c r="B9" i="4"/>
  <c r="C9" i="4"/>
  <c r="D9" i="4"/>
  <c r="B10" i="4"/>
  <c r="C10" i="4"/>
  <c r="D10" i="4"/>
  <c r="B11" i="4"/>
  <c r="C11" i="4"/>
  <c r="D11" i="4"/>
  <c r="B12" i="4"/>
  <c r="C12" i="4"/>
  <c r="D12" i="4"/>
  <c r="B13" i="4"/>
  <c r="C13" i="4"/>
  <c r="D13" i="4"/>
  <c r="B14" i="4"/>
  <c r="C14" i="4"/>
  <c r="D14" i="4"/>
  <c r="B15" i="4"/>
  <c r="C15" i="4"/>
  <c r="D15" i="4"/>
  <c r="B16" i="4"/>
  <c r="C16" i="4"/>
  <c r="D16" i="4"/>
  <c r="B17" i="4"/>
  <c r="C17" i="4"/>
  <c r="D17" i="4"/>
  <c r="B18" i="4"/>
  <c r="C18" i="4"/>
  <c r="D18" i="4"/>
  <c r="B19" i="4"/>
  <c r="C19" i="4"/>
  <c r="D19" i="4"/>
  <c r="C2" i="4"/>
  <c r="B2" i="4"/>
  <c r="B3" i="1"/>
  <c r="C3" i="1"/>
  <c r="D3" i="1"/>
  <c r="B4" i="1"/>
  <c r="C4" i="1"/>
  <c r="D4" i="1"/>
  <c r="B5" i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B11" i="1"/>
  <c r="C11" i="1"/>
  <c r="D11" i="1"/>
  <c r="B12" i="1"/>
  <c r="C12" i="1"/>
  <c r="D12" i="1"/>
  <c r="B13" i="1"/>
  <c r="C13" i="1"/>
  <c r="D13" i="1"/>
  <c r="B14" i="1"/>
  <c r="C14" i="1"/>
  <c r="D14" i="1"/>
  <c r="B15" i="1"/>
  <c r="C15" i="1"/>
  <c r="D15" i="1"/>
  <c r="B16" i="1"/>
  <c r="C16" i="1"/>
  <c r="D16" i="1"/>
  <c r="B17" i="1"/>
  <c r="C17" i="1"/>
  <c r="D17" i="1"/>
  <c r="B18" i="1"/>
  <c r="C18" i="1"/>
  <c r="D18" i="1"/>
  <c r="B19" i="1"/>
  <c r="C19" i="1"/>
  <c r="D19" i="1"/>
  <c r="C2" i="1"/>
  <c r="B2" i="1"/>
  <c r="L19" i="5"/>
  <c r="K19" i="5"/>
  <c r="J19" i="5"/>
  <c r="L18" i="5"/>
  <c r="K18" i="5"/>
  <c r="J18" i="5"/>
  <c r="L17" i="5"/>
  <c r="K17" i="5"/>
  <c r="J17" i="5"/>
  <c r="L16" i="5"/>
  <c r="K16" i="5"/>
  <c r="J16" i="5"/>
  <c r="L15" i="5"/>
  <c r="K15" i="5"/>
  <c r="J15" i="5"/>
  <c r="L14" i="5"/>
  <c r="K14" i="5"/>
  <c r="J14" i="5"/>
  <c r="L13" i="5"/>
  <c r="K13" i="5"/>
  <c r="J13" i="5"/>
  <c r="L12" i="5"/>
  <c r="K12" i="5"/>
  <c r="J12" i="5"/>
  <c r="L11" i="5"/>
  <c r="K11" i="5"/>
  <c r="J11" i="5"/>
  <c r="L10" i="5"/>
  <c r="K10" i="5"/>
  <c r="J10" i="5"/>
  <c r="L9" i="5"/>
  <c r="K9" i="5"/>
  <c r="J9" i="5"/>
  <c r="L8" i="5"/>
  <c r="K8" i="5"/>
  <c r="J8" i="5"/>
  <c r="L7" i="5"/>
  <c r="K7" i="5"/>
  <c r="J7" i="5"/>
  <c r="L6" i="5"/>
  <c r="K6" i="5"/>
  <c r="J6" i="5"/>
  <c r="L5" i="5"/>
  <c r="K5" i="5"/>
  <c r="J5" i="5"/>
  <c r="L4" i="5"/>
  <c r="K4" i="5"/>
  <c r="J4" i="5"/>
  <c r="L3" i="5"/>
  <c r="K3" i="5"/>
  <c r="J3" i="5"/>
  <c r="L2" i="5"/>
  <c r="K2" i="5"/>
  <c r="J2" i="5"/>
  <c r="M19" i="5" a="1"/>
  <c r="M8" i="5" a="1"/>
  <c r="M2" i="5" a="1"/>
  <c r="M9" i="5" a="1"/>
  <c r="M20" i="5" a="1"/>
  <c r="M12" i="5" a="1"/>
  <c r="M11" i="5" a="1"/>
  <c r="M20" i="11" a="1"/>
  <c r="M22" i="11" a="1"/>
  <c r="M12" i="11" a="1"/>
  <c r="C2" i="7" a="1"/>
  <c r="F20" i="7" l="1"/>
  <c r="H20" i="7"/>
  <c r="J20" i="7"/>
  <c r="H2" i="3"/>
  <c r="H12" i="3"/>
  <c r="H4" i="3"/>
  <c r="H19" i="3"/>
  <c r="H11" i="3"/>
  <c r="H3" i="3"/>
  <c r="H17" i="3"/>
  <c r="H9" i="3"/>
  <c r="H16" i="3"/>
  <c r="H8" i="3"/>
  <c r="M11" i="5"/>
  <c r="M12" i="5"/>
  <c r="M20" i="5"/>
  <c r="M9" i="5"/>
  <c r="M2" i="5"/>
  <c r="M8" i="5"/>
  <c r="M19" i="5"/>
  <c r="H4" i="5"/>
  <c r="N9" i="5"/>
  <c r="H13" i="5"/>
  <c r="G20" i="8"/>
  <c r="I11" i="5"/>
  <c r="H5" i="5"/>
  <c r="G12" i="8"/>
  <c r="O19" i="5"/>
  <c r="O4" i="5"/>
  <c r="G19" i="8"/>
  <c r="H11" i="5"/>
  <c r="I8" i="5"/>
  <c r="N17" i="5"/>
  <c r="F7" i="4"/>
  <c r="I16" i="5"/>
  <c r="H21" i="5"/>
  <c r="G2" i="8"/>
  <c r="H8" i="5"/>
  <c r="I14" i="5"/>
  <c r="G9" i="8"/>
  <c r="H20" i="5"/>
  <c r="H9" i="5"/>
  <c r="O2" i="5"/>
  <c r="G11" i="8"/>
  <c r="H19" i="5"/>
  <c r="H2" i="5"/>
  <c r="I7" i="5"/>
  <c r="G10" i="8"/>
  <c r="H15" i="5"/>
  <c r="N18" i="5"/>
  <c r="I3" i="5"/>
  <c r="N8" i="11"/>
  <c r="I9" i="11"/>
  <c r="N15" i="11"/>
  <c r="O15" i="11"/>
  <c r="H15" i="11"/>
  <c r="M12" i="11"/>
  <c r="M22" i="11"/>
  <c r="M20" i="11"/>
  <c r="N10" i="11"/>
  <c r="H27" i="11"/>
  <c r="O27" i="11"/>
  <c r="O10" i="11"/>
  <c r="O3" i="5"/>
  <c r="H10" i="5"/>
  <c r="I15" i="5"/>
  <c r="G18" i="4"/>
  <c r="G10" i="4"/>
  <c r="N10" i="5"/>
  <c r="G15" i="8"/>
  <c r="H18" i="5"/>
  <c r="G21" i="4"/>
  <c r="I17" i="5"/>
  <c r="I4" i="5"/>
  <c r="H14" i="5"/>
  <c r="G16" i="8"/>
  <c r="H17" i="5"/>
  <c r="G7" i="8"/>
  <c r="G17" i="4"/>
  <c r="G16" i="4"/>
  <c r="G8" i="4"/>
  <c r="H8" i="4"/>
  <c r="G15" i="4"/>
  <c r="G7" i="4"/>
  <c r="H7" i="4"/>
  <c r="G9" i="4"/>
  <c r="G14" i="4"/>
  <c r="G6" i="4"/>
  <c r="H16" i="4"/>
  <c r="G13" i="4"/>
  <c r="G5" i="4"/>
  <c r="H15" i="4"/>
  <c r="G2" i="4"/>
  <c r="G12" i="4"/>
  <c r="G4" i="4"/>
  <c r="G19" i="4"/>
  <c r="G11" i="4"/>
  <c r="G3" i="4"/>
  <c r="I10" i="11"/>
  <c r="N17" i="11"/>
  <c r="H8" i="11"/>
  <c r="H4" i="11"/>
  <c r="I4" i="11"/>
  <c r="I17" i="11"/>
  <c r="C2" i="7"/>
  <c r="I23" i="7" s="1"/>
  <c r="I13" i="5"/>
  <c r="I21" i="5"/>
  <c r="E20" i="1"/>
  <c r="N14" i="5"/>
  <c r="I14" i="11"/>
  <c r="H14" i="11"/>
  <c r="I6" i="11"/>
  <c r="H6" i="11"/>
  <c r="H7" i="11"/>
  <c r="I7" i="11"/>
  <c r="O26" i="11"/>
  <c r="H26" i="11"/>
  <c r="I26" i="11"/>
  <c r="I13" i="11"/>
  <c r="H13" i="11"/>
  <c r="H12" i="11"/>
  <c r="I12" i="11"/>
  <c r="H2" i="11"/>
  <c r="I2" i="11"/>
  <c r="I5" i="11"/>
  <c r="H5" i="11"/>
  <c r="O16" i="11"/>
  <c r="H16" i="11"/>
  <c r="I16" i="11"/>
  <c r="H11" i="11"/>
  <c r="I11" i="11"/>
  <c r="I3" i="11"/>
  <c r="H3" i="11"/>
  <c r="O21" i="11"/>
  <c r="I21" i="11"/>
  <c r="H21" i="11"/>
  <c r="I22" i="11"/>
  <c r="H22" i="11"/>
  <c r="N20" i="11"/>
  <c r="I20" i="11"/>
  <c r="H20" i="11"/>
  <c r="O19" i="11"/>
  <c r="I19" i="11"/>
  <c r="H19" i="11"/>
  <c r="N25" i="11"/>
  <c r="I25" i="11"/>
  <c r="H25" i="11"/>
  <c r="I18" i="11"/>
  <c r="H18" i="11"/>
  <c r="O24" i="11"/>
  <c r="H24" i="11"/>
  <c r="I24" i="11"/>
  <c r="O11" i="11"/>
  <c r="N11" i="11"/>
  <c r="N16" i="11"/>
  <c r="O13" i="11"/>
  <c r="N13" i="11"/>
  <c r="N26" i="11"/>
  <c r="O20" i="11"/>
  <c r="O25" i="11"/>
  <c r="N18" i="11"/>
  <c r="N19" i="11"/>
  <c r="N24" i="11"/>
  <c r="O6" i="11"/>
  <c r="N7" i="11"/>
  <c r="N2" i="11"/>
  <c r="N5" i="11"/>
  <c r="O3" i="11"/>
  <c r="G13" i="8"/>
  <c r="G5" i="8"/>
  <c r="G21" i="8"/>
  <c r="G4" i="8"/>
  <c r="G14" i="8"/>
  <c r="E4" i="1"/>
  <c r="O13" i="5"/>
  <c r="N6" i="11"/>
  <c r="O5" i="11"/>
  <c r="O7" i="11"/>
  <c r="N3" i="11"/>
  <c r="O2" i="11"/>
  <c r="O18" i="11"/>
  <c r="O12" i="11"/>
  <c r="N12" i="11"/>
  <c r="O14" i="11"/>
  <c r="N14" i="11"/>
  <c r="O22" i="11"/>
  <c r="N22" i="11"/>
  <c r="F21" i="3"/>
  <c r="O5" i="5"/>
  <c r="K21" i="3"/>
  <c r="G21" i="1"/>
  <c r="N21" i="5"/>
  <c r="F21" i="4"/>
  <c r="H21" i="4" s="1"/>
  <c r="J21" i="3"/>
  <c r="E21" i="1"/>
  <c r="G20" i="1"/>
  <c r="F20" i="1"/>
  <c r="F20" i="3"/>
  <c r="J20" i="3"/>
  <c r="O21" i="5"/>
  <c r="F21" i="1"/>
  <c r="K20" i="3"/>
  <c r="G2" i="3"/>
  <c r="O15" i="5"/>
  <c r="N20" i="5"/>
  <c r="F20" i="4"/>
  <c r="H20" i="4" s="1"/>
  <c r="N6" i="5"/>
  <c r="O14" i="5"/>
  <c r="F14" i="4"/>
  <c r="H14" i="4" s="1"/>
  <c r="F6" i="4"/>
  <c r="H6" i="4" s="1"/>
  <c r="N8" i="5"/>
  <c r="F13" i="4"/>
  <c r="H13" i="4" s="1"/>
  <c r="O7" i="5"/>
  <c r="N13" i="5"/>
  <c r="N7" i="5"/>
  <c r="O10" i="5"/>
  <c r="O9" i="5"/>
  <c r="F5" i="4"/>
  <c r="H5" i="4" s="1"/>
  <c r="N5" i="5"/>
  <c r="N16" i="5"/>
  <c r="O18" i="5"/>
  <c r="N15" i="5"/>
  <c r="O17" i="5"/>
  <c r="F2" i="4"/>
  <c r="H2" i="4" s="1"/>
  <c r="F12" i="4"/>
  <c r="H12" i="4" s="1"/>
  <c r="F4" i="4"/>
  <c r="H4" i="4" s="1"/>
  <c r="O16" i="5"/>
  <c r="O8" i="5"/>
  <c r="J12" i="3"/>
  <c r="F12" i="3"/>
  <c r="J2" i="3"/>
  <c r="F2" i="3"/>
  <c r="J19" i="3"/>
  <c r="F19" i="3"/>
  <c r="J3" i="3"/>
  <c r="F3" i="3"/>
  <c r="F11" i="4"/>
  <c r="H11" i="4" s="1"/>
  <c r="K19" i="3"/>
  <c r="K11" i="3"/>
  <c r="K3" i="3"/>
  <c r="J16" i="3"/>
  <c r="F16" i="3"/>
  <c r="F8" i="3"/>
  <c r="J8" i="3"/>
  <c r="G4" i="3"/>
  <c r="J4" i="3"/>
  <c r="F4" i="3"/>
  <c r="F7" i="3"/>
  <c r="J7" i="3"/>
  <c r="F3" i="4"/>
  <c r="H3" i="4" s="1"/>
  <c r="G19" i="3"/>
  <c r="F18" i="4"/>
  <c r="H18" i="4" s="1"/>
  <c r="F10" i="4"/>
  <c r="H10" i="4" s="1"/>
  <c r="N2" i="5"/>
  <c r="N12" i="5"/>
  <c r="N4" i="5"/>
  <c r="F15" i="3"/>
  <c r="J15" i="3"/>
  <c r="F19" i="4"/>
  <c r="H19" i="4" s="1"/>
  <c r="J18" i="3"/>
  <c r="F18" i="3"/>
  <c r="F14" i="3"/>
  <c r="J14" i="3"/>
  <c r="J10" i="3"/>
  <c r="F10" i="3"/>
  <c r="J6" i="3"/>
  <c r="F6" i="3"/>
  <c r="F17" i="4"/>
  <c r="H17" i="4" s="1"/>
  <c r="F9" i="4"/>
  <c r="H9" i="4" s="1"/>
  <c r="N19" i="5"/>
  <c r="N11" i="5"/>
  <c r="N3" i="5"/>
  <c r="J11" i="3"/>
  <c r="F11" i="3"/>
  <c r="G3" i="3"/>
  <c r="K16" i="3"/>
  <c r="K8" i="3"/>
  <c r="G17" i="3"/>
  <c r="J17" i="3"/>
  <c r="F17" i="3"/>
  <c r="G13" i="3"/>
  <c r="J13" i="3"/>
  <c r="F13" i="3"/>
  <c r="J9" i="3"/>
  <c r="F9" i="3"/>
  <c r="J5" i="3"/>
  <c r="F5" i="3"/>
  <c r="K15" i="3"/>
  <c r="K7" i="3"/>
  <c r="E2" i="1"/>
  <c r="E3" i="1"/>
  <c r="F3" i="1"/>
  <c r="F11" i="1"/>
  <c r="G12" i="3"/>
  <c r="E6" i="1"/>
  <c r="F14" i="1"/>
  <c r="G19" i="1"/>
  <c r="G16" i="1"/>
  <c r="E11" i="1"/>
  <c r="G3" i="1"/>
  <c r="E17" i="1"/>
  <c r="E9" i="1"/>
  <c r="F19" i="1"/>
  <c r="G14" i="3"/>
  <c r="E15" i="1"/>
  <c r="G14" i="1"/>
  <c r="E12" i="1"/>
  <c r="F9" i="1"/>
  <c r="G10" i="3"/>
  <c r="E19" i="1"/>
  <c r="E14" i="1"/>
  <c r="G11" i="1"/>
  <c r="G8" i="1"/>
  <c r="F6" i="1"/>
  <c r="G6" i="3"/>
  <c r="G16" i="3"/>
  <c r="G17" i="1"/>
  <c r="F12" i="1"/>
  <c r="F16" i="1"/>
  <c r="G13" i="1"/>
  <c r="E8" i="1"/>
  <c r="G5" i="1"/>
  <c r="F17" i="1"/>
  <c r="G6" i="1"/>
  <c r="G18" i="1"/>
  <c r="E13" i="1"/>
  <c r="G10" i="1"/>
  <c r="E5" i="1"/>
  <c r="G9" i="1"/>
  <c r="E18" i="1"/>
  <c r="F15" i="1"/>
  <c r="G12" i="1"/>
  <c r="E10" i="1"/>
  <c r="E7" i="1"/>
  <c r="G15" i="3"/>
  <c r="G5" i="3"/>
  <c r="F8" i="1"/>
  <c r="E16" i="1"/>
  <c r="F13" i="1"/>
  <c r="F5" i="1"/>
  <c r="F18" i="1"/>
  <c r="G15" i="1"/>
  <c r="F10" i="1"/>
  <c r="G7" i="1"/>
  <c r="F7" i="1"/>
  <c r="G4" i="1"/>
  <c r="F4" i="1"/>
  <c r="G2" i="1"/>
  <c r="F2" i="1"/>
  <c r="G9" i="3"/>
  <c r="G18" i="3"/>
  <c r="G8" i="3"/>
  <c r="G7" i="3"/>
  <c r="M4" i="5" a="1"/>
  <c r="M17" i="5" a="1"/>
  <c r="M7" i="5" a="1"/>
  <c r="M14" i="5" a="1"/>
  <c r="M3" i="5" a="1"/>
  <c r="M13" i="5" a="1"/>
  <c r="M16" i="5" a="1"/>
  <c r="M10" i="5" a="1"/>
  <c r="M5" i="5" a="1"/>
  <c r="M21" i="5" a="1"/>
  <c r="M15" i="5" a="1"/>
  <c r="M18" i="5" a="1"/>
  <c r="M18" i="5" l="1"/>
  <c r="M15" i="5"/>
  <c r="M21" i="5"/>
  <c r="M5" i="5"/>
  <c r="M10" i="5"/>
  <c r="M16" i="5"/>
  <c r="M13" i="5"/>
  <c r="M3" i="5"/>
  <c r="M14" i="5"/>
  <c r="M7" i="5"/>
  <c r="M17" i="5"/>
  <c r="M4" i="5"/>
  <c r="K23" i="7"/>
  <c r="G23" i="7"/>
  <c r="I2" i="7"/>
  <c r="H2" i="7"/>
  <c r="J2" i="7"/>
  <c r="K2" i="7"/>
  <c r="F2" i="7"/>
  <c r="G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<sst xmlns="http://schemas.openxmlformats.org/spreadsheetml/2006/main" count="1102" uniqueCount="576">
  <si>
    <t>域名</t>
  </si>
  <si>
    <t>VLESS_WS</t>
  </si>
  <si>
    <t>VLESS_gRPC</t>
  </si>
  <si>
    <t>Trojan_gRPC</t>
  </si>
  <si>
    <t>复制右侧的一整列，粘贴到v2ray并测试真连，如果没有问题，则以文本的方式</t>
  </si>
  <si>
    <t>传到手机中，并粘贴到相应的APP，如小火箭</t>
  </si>
  <si>
    <t>注：以上密码与域名仅为测试，不可用！</t>
  </si>
  <si>
    <t>序</t>
  </si>
  <si>
    <r>
      <t>当小鸡开云朵后，TROJAN</t>
    </r>
    <r>
      <rPr>
        <sz val="11"/>
        <color rgb="FFC00000"/>
        <rFont val="等线"/>
        <family val="2"/>
        <scheme val="minor"/>
      </rPr>
      <t>不能直接使用域名</t>
    </r>
    <r>
      <rPr>
        <sz val="11"/>
        <color theme="1"/>
        <rFont val="等线"/>
        <family val="2"/>
        <charset val="134"/>
        <scheme val="minor"/>
      </rPr>
      <t>，要用IP地址。 VMESS</t>
    </r>
    <r>
      <rPr>
        <sz val="11"/>
        <color rgb="FF00B050"/>
        <rFont val="等线"/>
        <family val="2"/>
        <scheme val="minor"/>
      </rPr>
      <t>不受影响</t>
    </r>
    <r>
      <rPr>
        <sz val="11"/>
        <color theme="1"/>
        <rFont val="等线"/>
        <family val="2"/>
        <charset val="134"/>
        <scheme val="minor"/>
      </rPr>
      <t>，带WS功能。</t>
    </r>
  </si>
  <si>
    <t>以上生成后，目前很多PC端均可使用</t>
  </si>
  <si>
    <t>具体配置参照Yaml文件，纯傻瓜操作，复制粘贴，替换。</t>
  </si>
  <si>
    <r>
      <t>Clash 支持TROJAN gRPC , VMESS ws也ok，但需要</t>
    </r>
    <r>
      <rPr>
        <sz val="11"/>
        <color rgb="FFFF0000"/>
        <rFont val="等线"/>
        <family val="2"/>
        <scheme val="minor"/>
      </rPr>
      <t>注意生成的名字</t>
    </r>
    <r>
      <rPr>
        <sz val="11"/>
        <color theme="1"/>
        <rFont val="等线"/>
        <family val="2"/>
        <charset val="134"/>
        <scheme val="minor"/>
      </rPr>
      <t>，用于节点选择时粘贴。</t>
    </r>
  </si>
  <si>
    <t>优选IP</t>
    <phoneticPr fontId="7" type="noConversion"/>
  </si>
  <si>
    <t>优选IP</t>
    <phoneticPr fontId="5" type="noConversion"/>
  </si>
  <si>
    <t>真实IP</t>
    <phoneticPr fontId="5" type="noConversion"/>
  </si>
  <si>
    <t>VMESS_WS (可用优选IP）</t>
    <phoneticPr fontId="5" type="noConversion"/>
  </si>
  <si>
    <t>Trojan（必须真实IP）</t>
    <phoneticPr fontId="5" type="noConversion"/>
  </si>
  <si>
    <t>目前WS/GRPC协议都支持优选IP</t>
    <phoneticPr fontId="7" type="noConversion"/>
  </si>
  <si>
    <t>当优选IP或真实IP为空时，默认使用域名</t>
    <phoneticPr fontId="7" type="noConversion"/>
  </si>
  <si>
    <t>Trojan_gRPC</t>
    <phoneticPr fontId="7" type="noConversion"/>
  </si>
  <si>
    <t>PATH</t>
    <phoneticPr fontId="7" type="noConversion"/>
  </si>
  <si>
    <t>如果机场的不带尾巴，可以将公式里的去掉</t>
    <phoneticPr fontId="7" type="noConversion"/>
  </si>
  <si>
    <t>关于PATH：八合一自动会添加一些尾巴，比如ws协议的，会加上ws，,grpc协议的加上grpc之类。</t>
    <phoneticPr fontId="7" type="noConversion"/>
  </si>
  <si>
    <t>如果自建的没有添加，可以考虑用表中的PATH，用群文件里的教程建会加尾巴，新版八合一不清楚。</t>
    <phoneticPr fontId="7" type="noConversion"/>
  </si>
  <si>
    <r>
      <rPr>
        <b/>
        <sz val="11"/>
        <color rgb="FF00B050"/>
        <rFont val="等线"/>
        <family val="3"/>
        <charset val="134"/>
        <scheme val="minor"/>
      </rPr>
      <t>关于PATH：</t>
    </r>
    <r>
      <rPr>
        <b/>
        <sz val="11"/>
        <color theme="1"/>
        <rFont val="等线"/>
        <family val="3"/>
        <charset val="134"/>
        <scheme val="minor"/>
      </rPr>
      <t>八合一自动会添加一些尾巴，比如ws协议的，会加上ws，,grpc协议的加上grpc之类。</t>
    </r>
    <phoneticPr fontId="7" type="noConversion"/>
  </si>
  <si>
    <r>
      <t>如果自建的</t>
    </r>
    <r>
      <rPr>
        <b/>
        <sz val="11"/>
        <color rgb="FF00B050"/>
        <rFont val="等线"/>
        <family val="3"/>
        <charset val="134"/>
        <scheme val="minor"/>
      </rPr>
      <t>没有</t>
    </r>
    <r>
      <rPr>
        <b/>
        <sz val="11"/>
        <color theme="1"/>
        <rFont val="等线"/>
        <family val="3"/>
        <charset val="134"/>
        <scheme val="minor"/>
      </rPr>
      <t>添加，可以考虑用表中的PATH，用群文件里的教程建会加尾巴，新版八合一不清楚。</t>
    </r>
    <phoneticPr fontId="7" type="noConversion"/>
  </si>
  <si>
    <r>
      <t>如果机场的</t>
    </r>
    <r>
      <rPr>
        <b/>
        <sz val="11"/>
        <color rgb="FF00B050"/>
        <rFont val="等线"/>
        <family val="3"/>
        <charset val="134"/>
        <scheme val="minor"/>
      </rPr>
      <t>不带</t>
    </r>
    <r>
      <rPr>
        <b/>
        <sz val="11"/>
        <color theme="1"/>
        <rFont val="等线"/>
        <family val="3"/>
        <charset val="134"/>
        <scheme val="minor"/>
      </rPr>
      <t>尾巴，可以将公式里的去掉。</t>
    </r>
    <phoneticPr fontId="7" type="noConversion"/>
  </si>
  <si>
    <r>
      <t>标这个底色的手填，</t>
    </r>
    <r>
      <rPr>
        <b/>
        <sz val="11"/>
        <color rgb="FFFF0000"/>
        <rFont val="等线"/>
        <family val="3"/>
        <charset val="134"/>
        <scheme val="minor"/>
      </rPr>
      <t>这张表里的不用填，自动读取第一张表</t>
    </r>
    <phoneticPr fontId="7" type="noConversion"/>
  </si>
  <si>
    <r>
      <t>此表同表一，只是少了</t>
    </r>
    <r>
      <rPr>
        <b/>
        <sz val="12"/>
        <color theme="9"/>
        <rFont val="等线"/>
        <family val="3"/>
        <charset val="134"/>
        <scheme val="minor"/>
      </rPr>
      <t>优选IP</t>
    </r>
    <r>
      <rPr>
        <b/>
        <sz val="12"/>
        <color rgb="FF7030A0"/>
        <rFont val="等线"/>
        <family val="3"/>
        <charset val="134"/>
        <scheme val="minor"/>
      </rPr>
      <t>功能，如优选不想用时，可用此表</t>
    </r>
    <phoneticPr fontId="7" type="noConversion"/>
  </si>
  <si>
    <r>
      <t>此表为主表，</t>
    </r>
    <r>
      <rPr>
        <b/>
        <sz val="12"/>
        <color theme="5" tint="-0.249977111117893"/>
        <rFont val="等线"/>
        <family val="3"/>
        <charset val="134"/>
        <scheme val="minor"/>
      </rPr>
      <t>密码/域名/PATH/优选IP</t>
    </r>
    <r>
      <rPr>
        <b/>
        <sz val="12"/>
        <color rgb="FF7030A0"/>
        <rFont val="等线"/>
        <family val="3"/>
        <charset val="134"/>
        <scheme val="minor"/>
      </rPr>
      <t>填一次，后面几个表基本是自动，除个别差异处需手填。</t>
    </r>
    <phoneticPr fontId="7" type="noConversion"/>
  </si>
  <si>
    <t>明文需要转换Base64才能正常给V2使用</t>
    <phoneticPr fontId="7" type="noConversion"/>
  </si>
  <si>
    <t>真实IP用另一个域名镜像了</t>
    <phoneticPr fontId="7" type="noConversion"/>
  </si>
  <si>
    <t>优选IP，01--58,可以自己去匹配相应的，上面的不一定好用。群文件有。</t>
    <phoneticPr fontId="7" type="noConversion"/>
  </si>
  <si>
    <t>真实IP</t>
    <phoneticPr fontId="7" type="noConversion"/>
  </si>
  <si>
    <t>Trojan（配真实IP）</t>
    <phoneticPr fontId="7" type="noConversion"/>
  </si>
  <si>
    <t>VLESS_TLS（配真实IP）</t>
    <phoneticPr fontId="7" type="noConversion"/>
  </si>
  <si>
    <t>VLESS_WS</t>
    <phoneticPr fontId="7" type="noConversion"/>
  </si>
  <si>
    <t>请选择配置序号（输入数字即可）</t>
    <phoneticPr fontId="7" type="noConversion"/>
  </si>
  <si>
    <t>vp</t>
    <phoneticPr fontId="7" type="noConversion"/>
  </si>
  <si>
    <t>140.114.69.135</t>
  </si>
  <si>
    <t>主域名A记录</t>
    <phoneticPr fontId="7" type="noConversion"/>
  </si>
  <si>
    <t>真实IP域名A记录</t>
    <phoneticPr fontId="7" type="noConversion"/>
  </si>
  <si>
    <t>仅限cloudflare NS使用</t>
    <phoneticPr fontId="7" type="noConversion"/>
  </si>
  <si>
    <t>表头不需要复制</t>
    <phoneticPr fontId="7" type="noConversion"/>
  </si>
  <si>
    <t>以上用来批量导入域名</t>
    <phoneticPr fontId="7" type="noConversion"/>
  </si>
  <si>
    <t>IP跟据实际小鸡填写，只填左边即可，右边自动匹配左边IP</t>
    <phoneticPr fontId="7" type="noConversion"/>
  </si>
  <si>
    <t>复制后，粘贴到记事本中，保存，上传到相对应的域名即可。</t>
    <phoneticPr fontId="7" type="noConversion"/>
  </si>
  <si>
    <t>建机时不要开云朵，建完能正常TLS连接时，再开云朵</t>
    <phoneticPr fontId="7" type="noConversion"/>
  </si>
  <si>
    <t>生成行数(最大20行）</t>
    <phoneticPr fontId="7" type="noConversion"/>
  </si>
  <si>
    <t>序</t>
    <phoneticPr fontId="7" type="noConversion"/>
  </si>
  <si>
    <t>数字</t>
  </si>
  <si>
    <t>UUID（粘贴为123格式，不变）</t>
    <phoneticPr fontId="7" type="noConversion"/>
  </si>
  <si>
    <t>adb45e76-b0e7-4c0b-90b7-8c41a9e04e51</t>
  </si>
  <si>
    <t>8b224414-a49a-4bd4-85ac-2fb4e65133a2</t>
  </si>
  <si>
    <t>e514eace-f7fc-4689-9547-91b810c9b906</t>
  </si>
  <si>
    <t>15c2d187-dd1a-403a-a450-ddfbcb929556</t>
  </si>
  <si>
    <t>6c026dff-3464-4737-9416-9b5a014b85fa</t>
  </si>
  <si>
    <t>fb1e92e5-4abf-404f-9234-067284ac145b</t>
  </si>
  <si>
    <t>516e96cc-bd80-4ce7-bcd2-fea79effabbf</t>
  </si>
  <si>
    <t>9af20f09-1deb-4d65-b548-69a88235d502</t>
  </si>
  <si>
    <t>1fe8a7ed-4592-419f-af29-42e29a1cac09</t>
  </si>
  <si>
    <t>2a30f75a-3dae-4f3a-a616-4869d9554622</t>
  </si>
  <si>
    <t>734e3489-2992-49ac-adb4-1194ee679bb9</t>
  </si>
  <si>
    <t>60780c50-8c0e-40a3-b13f-9ae789445b74</t>
  </si>
  <si>
    <t>fc0b7ecd-4fad-40ff-90da-412a4aab8ad6</t>
  </si>
  <si>
    <t>5cda6eca-aa92-4030-9fb4-7259bfbce5d7</t>
  </si>
  <si>
    <t>46fe4ecf-2877-4ae0-9375-b055e0fa257c</t>
  </si>
  <si>
    <t>37563004-036e-4c80-b3ad-4a83ad239892</t>
  </si>
  <si>
    <t>b1b973ec-5fb0-407b-b023-99e56ac7e963</t>
  </si>
  <si>
    <t>00e087ab-6107-4a20-87ef-481ab366ebe1</t>
  </si>
  <si>
    <t>72bd05ef-1691-4612-a5be-0301e0ac9349</t>
  </si>
  <si>
    <t>1415d009-2630-4ee7-a9d6-13a51e8620d0</t>
  </si>
  <si>
    <t>密码/UUID</t>
    <phoneticPr fontId="7" type="noConversion"/>
  </si>
  <si>
    <t>UUID (每次操作或打文件时会变）</t>
    <phoneticPr fontId="7" type="noConversion"/>
  </si>
  <si>
    <t>操作区</t>
    <phoneticPr fontId="7" type="noConversion"/>
  </si>
  <si>
    <t>参 数 配 置</t>
    <phoneticPr fontId="7" type="noConversion"/>
  </si>
  <si>
    <t>前缀：</t>
    <phoneticPr fontId="7" type="noConversion"/>
  </si>
  <si>
    <t>主域名：</t>
    <phoneticPr fontId="7" type="noConversion"/>
  </si>
  <si>
    <t>PATH：</t>
    <phoneticPr fontId="7" type="noConversion"/>
  </si>
  <si>
    <t>真实IP解析主域名：</t>
    <phoneticPr fontId="7" type="noConversion"/>
  </si>
  <si>
    <t>PROXY</t>
  </si>
  <si>
    <t>Auto Select</t>
  </si>
  <si>
    <t>Load Balance</t>
  </si>
  <si>
    <r>
      <t>子域名生成方式</t>
    </r>
    <r>
      <rPr>
        <sz val="11"/>
        <color theme="0"/>
        <rFont val="等线"/>
        <family val="3"/>
        <charset val="134"/>
        <scheme val="minor"/>
      </rPr>
      <t>（选择)</t>
    </r>
    <r>
      <rPr>
        <b/>
        <sz val="11"/>
        <color theme="0"/>
        <rFont val="等线"/>
        <family val="3"/>
        <charset val="134"/>
        <scheme val="minor"/>
      </rPr>
      <t>：</t>
    </r>
    <phoneticPr fontId="7" type="noConversion"/>
  </si>
  <si>
    <t>VMESS_WS</t>
    <phoneticPr fontId="7" type="noConversion"/>
  </si>
  <si>
    <t>名称(VMESS)</t>
    <phoneticPr fontId="7" type="noConversion"/>
  </si>
  <si>
    <t>名称(Trojan)</t>
    <phoneticPr fontId="7" type="noConversion"/>
  </si>
  <si>
    <t>名称(VLESS)</t>
    <phoneticPr fontId="7" type="noConversion"/>
  </si>
  <si>
    <t>多个套娃，每生成一组时，需自行修改AUTO和LOAD红字，可带序标，或机名，如:AUTO VP1 , BALANCE VP1，同时PROXY对应增加</t>
    <phoneticPr fontId="7" type="noConversion"/>
  </si>
  <si>
    <t>使用者</t>
  </si>
  <si>
    <t>用户ID（新加坡/亚马逊）</t>
  </si>
  <si>
    <t>用户ID（韩国春川/甲骨文）</t>
  </si>
  <si>
    <t>用户ID（美国圣何塞/甲骨文）</t>
  </si>
  <si>
    <t>用户ID（日本大阪/甲骨文）</t>
  </si>
  <si>
    <t>用户ID（日本东京/甲骨文）</t>
  </si>
  <si>
    <t>用户ID（韩国首尔/甲骨文）</t>
  </si>
  <si>
    <t>用户ID（台湾/GCP）</t>
    <phoneticPr fontId="7" type="noConversion"/>
  </si>
  <si>
    <t>用户ID（香港/GCP）</t>
    <phoneticPr fontId="7" type="noConversion"/>
  </si>
  <si>
    <t>用户ID（新加坡/GCP）</t>
    <phoneticPr fontId="7" type="noConversion"/>
  </si>
  <si>
    <t>下方格中输入”节点信息“中的用户备注</t>
    <phoneticPr fontId="7" type="noConversion"/>
  </si>
  <si>
    <t>以上生成后，目前很多PC端均可使用</t>
    <phoneticPr fontId="7" type="noConversion"/>
  </si>
  <si>
    <t>4d458977-fb3c-41a3-90b1-086658ab6db8</t>
  </si>
  <si>
    <t>8ad5aeb0-ea12-4780-8da4-c5746ea1b012</t>
  </si>
  <si>
    <t>6fd5122c-0b75-4cf0-b299-29e4672c93e5</t>
  </si>
  <si>
    <t>09960017-204b-4ceb-b931-e06596b20977</t>
  </si>
  <si>
    <t>6a6f97e7-80aa-4858-b2b5-3bf7155f8f69</t>
  </si>
  <si>
    <t>6ed9fed7-b6a0-43c5-a598-a69b952a7ab5</t>
  </si>
  <si>
    <t>b9c8283b-145b-416d-9788-daac2dd80f1e</t>
  </si>
  <si>
    <t>504f78d3-9cb2-4b74-9c76-8975e7c94da2</t>
  </si>
  <si>
    <t>76c8ced8-970a-491f-852b-ed1912a17e4f</t>
  </si>
  <si>
    <t>0edab341-3675-46f3-9153-7234b82aaeae</t>
  </si>
  <si>
    <t>52bbc8ca-b5fd-4664-8cc8-ac899c1d4491</t>
  </si>
  <si>
    <t>59d8aa2c-8753-4aeb-ac27-d2e4cc03301d</t>
  </si>
  <si>
    <t>d2c5802c-2f42-4399-9ff1-d7cff7a5b634</t>
  </si>
  <si>
    <t>f9799575-8d4c-4182-b13e-aadda305d4da</t>
  </si>
  <si>
    <t>12fd8ec2-9e97-4e8f-b6b4-a3423545c13b</t>
  </si>
  <si>
    <t>d75d179f-4245-4fb6-a2e2-f5efd16f2159</t>
  </si>
  <si>
    <t>f3a8523b-0d89-4804-bea9-30de6ae9f884</t>
  </si>
  <si>
    <t>0f8e9370-b6c0-49fb-a038-9e3ff17fea04</t>
  </si>
  <si>
    <t>84aa463c-9e7d-464a-9625-ffea4b8fb259</t>
  </si>
  <si>
    <t>4ad095f1-1260-4318-82e5-72dbd686d54a</t>
  </si>
  <si>
    <t>2995b075-811c-44e2-86e3-979a64ef4ffd</t>
  </si>
  <si>
    <t>bf567fff-69ef-4f53-82b6-ebd6e2b0e7f6</t>
  </si>
  <si>
    <t>23dbdc5b-2dc9-4da2-bc76-084c064d04f6</t>
  </si>
  <si>
    <t>93eb1703-46a2-4383-90f6-a9f1f1be9605</t>
  </si>
  <si>
    <t>9d09a647-b895-4c6f-8cae-b66fa7ca8f0a</t>
  </si>
  <si>
    <t>4ae2748d-a1ee-4151-9ea5-d60614377fde</t>
  </si>
  <si>
    <t>4bffa0fc-2333-48e6-96b8-3f4414bc3e07</t>
  </si>
  <si>
    <t>c9932592-1016-4027-bca5-bd2312e93fb2</t>
  </si>
  <si>
    <t>da704b07-df5f-49b3-a4a4-a78e686edb20</t>
  </si>
  <si>
    <t>10ba45d4-6b62-458c-a0af-a5b827bd969d</t>
  </si>
  <si>
    <t>d0e4183c-a65b-40d2-915f-b2cefcff894e</t>
  </si>
  <si>
    <t>e01c0645-2cf9-431a-aed3-fe0498c7441d</t>
  </si>
  <si>
    <t>f27db7a8-174b-4071-9d91-0f0fdedfee10</t>
  </si>
  <si>
    <t>bd642e7f-3581-4835-9d5d-65a35b5c71ff</t>
  </si>
  <si>
    <t>16ce2a85-61b0-48d5-baad-ff1f333f9444</t>
  </si>
  <si>
    <t>0c1ca91a-c889-40b6-adaa-a1090582a00a</t>
  </si>
  <si>
    <t>49e0ac4f-85d8-453e-aa65-f1c9e493504a</t>
  </si>
  <si>
    <t>67a6b85d-4d03-488b-ba7c-3d0722393c96</t>
  </si>
  <si>
    <t>5103033d-907f-4644-a050-20d3f5205e9e</t>
  </si>
  <si>
    <t>22984129-fc7f-4e07-afae-f03b0fa539fa</t>
  </si>
  <si>
    <t>c1418c2f-69f0-4764-a9fd-0b17c77e0b92</t>
  </si>
  <si>
    <t>abac35f3-9470-43d0-a5c9-ab90cbf75c0b</t>
  </si>
  <si>
    <t>44f7a632-0132-48c6-affd-93f2f684b603</t>
  </si>
  <si>
    <t>56f70d2c-3185-48db-b208-e03e4996c735</t>
  </si>
  <si>
    <t>692a3a57-6125-4601-8101-3232a967b0fc</t>
  </si>
  <si>
    <t>8d76ae13-3fb3-4c5f-b5f9-738abf3bb43a</t>
    <phoneticPr fontId="7" type="noConversion"/>
  </si>
  <si>
    <t>d7beba0b-b7b8-4283-ba09-54c2c3f4f865</t>
  </si>
  <si>
    <t>0ddab070-495b-4973-86c3-49e3c255c16c</t>
  </si>
  <si>
    <t>19b0c66b-76d3-4100-80e9-cbb181922ae1</t>
  </si>
  <si>
    <t>09457e2f-9e1e-4ce9-9c92-3223de3ba4c6</t>
  </si>
  <si>
    <t>d3c283f6-60f5-4f68-80b6-e15f6653821c</t>
  </si>
  <si>
    <t>94a2f605-e197-4234-a2de-4354654d3f46</t>
  </si>
  <si>
    <t>6ae99559-530e-4fd3-8e2f-58736093d0b9</t>
  </si>
  <si>
    <t>0420fd58-ec3b-4df6-8f1f-4d8474173c68</t>
  </si>
  <si>
    <t>d0668693-e51d-443a-b333-42de54009561</t>
  </si>
  <si>
    <t>c4a723ec-4618-4e83-981f-dcd80bb2d2c7</t>
  </si>
  <si>
    <t>71d559f3-55bf-42e8-a063-734141a09fbc</t>
    <phoneticPr fontId="7" type="noConversion"/>
  </si>
  <si>
    <t>6dffcb5b-c95a-4fb9-a6ae-873b82425a85</t>
  </si>
  <si>
    <t>c4af5a0e-0597-4db5-a97a-66c55410cb06</t>
  </si>
  <si>
    <t>2911f8a2-4500-4869-bd96-32c86fa2479f</t>
  </si>
  <si>
    <t>1f237d91-2bc0-4567-8941-42fdba0300ba</t>
  </si>
  <si>
    <t>c3a00264-8e41-4806-b4b7-77f797e836e3</t>
  </si>
  <si>
    <t>6d83713a-c172-4936-8732-5ce2cb00d14e</t>
  </si>
  <si>
    <t>a94effaa-dbfe-4939-98e3-5eac0ca57fa4</t>
  </si>
  <si>
    <t>be7fcc3c-9622-4c1c-8d5d-41076cd97293</t>
  </si>
  <si>
    <t>424a3633-3cc4-456f-a5cd-a88c4fd43a9d</t>
  </si>
  <si>
    <t>47f9495b-03c3-433f-a7d3-5074045017dc</t>
  </si>
  <si>
    <t>95bd9f33-ed1a-4bb2-a40f-f4257be2b8a8</t>
  </si>
  <si>
    <t>1912ba7f-07e0-4ad2-abe5-977049fa7086</t>
  </si>
  <si>
    <t>22498e18-90d5-4dc9-bfff-ff16dafb7ffd</t>
  </si>
  <si>
    <t>a57abbb0-3436-470c-b91d-a3d8b5cc8445</t>
  </si>
  <si>
    <t>5461d5d4-c2e3-4df4-8ba9-8b70f6b1cf93</t>
  </si>
  <si>
    <t>7ec5bc1f-2e78-451c-b91f-1dfb88811561</t>
  </si>
  <si>
    <t>76a5bc10-23b2-4024-acd6-b4f829968a3b</t>
  </si>
  <si>
    <t>b0199bc5-632d-4981-bc2c-c21ec33442a0</t>
  </si>
  <si>
    <t>bb191df5-feba-4ddb-962f-762b57f04fb0</t>
  </si>
  <si>
    <t>7ab01db6-a7fb-42c1-9444-bf895bfbce6e</t>
  </si>
  <si>
    <t>0e5f9321-f332-4911-8aa3-ed86ecfa2fe4</t>
  </si>
  <si>
    <t>a69edb7d-2eff-45ab-9220-dd1885546fea</t>
  </si>
  <si>
    <t>5a18e1f1-40c8-4649-92c2-a40e2452ca62</t>
  </si>
  <si>
    <t>fe20a140-2c41-457f-abc1-b839a7e900d1</t>
  </si>
  <si>
    <t>e40ba6b6-6a2e-4b9b-94e2-e71a0d9566f4</t>
  </si>
  <si>
    <t>d3c30ebd-4892-485a-8938-002df11427ea</t>
  </si>
  <si>
    <t>128b7579-128f-45ed-9c49-20899cf9e4c1</t>
  </si>
  <si>
    <t>e207e1a3-af5f-432e-ad2e-563cd0a08619</t>
  </si>
  <si>
    <t>97a50b49-3903-487d-afc5-c3472f9f0300</t>
  </si>
  <si>
    <t>89387596-561d-4390-a85d-67f755d0d3c1</t>
  </si>
  <si>
    <t>bafaea7b-0e45-4232-964b-df81cca16ca8</t>
  </si>
  <si>
    <t>4d6a6415-3890-4561-8413-0dd8bf0f2f6a</t>
  </si>
  <si>
    <t>957eea0a-dead-49ad-8897-e4ee465e5922</t>
  </si>
  <si>
    <t>be0dd7ef-65cf-4eb6-98ec-05a4ce2d3768</t>
  </si>
  <si>
    <t>b79e4b35-7149-4214-88d7-176d3bb592c9</t>
  </si>
  <si>
    <t>b5496e67-0a56-4ffb-b055-6849ab655761</t>
  </si>
  <si>
    <t>739b98b5-080e-44ec-8950-4e2eb7097195</t>
  </si>
  <si>
    <t>6b09f463-b382-4d90-9fa8-7c47c1055a69</t>
  </si>
  <si>
    <t>424c0a56-a806-4db1-b217-1439a92b13f9</t>
  </si>
  <si>
    <t>cb761a1c-8fcf-4535-8f7e-8c95ea32dadc</t>
  </si>
  <si>
    <t>303b65ba-ecad-43f8-9959-d15726daffdd</t>
  </si>
  <si>
    <t>17b3bc7a-db3c-4b48-8ce5-e319af302ea0</t>
  </si>
  <si>
    <t>3dcdaba6-6bfd-41d7-95e8-81eff92679f8</t>
    <phoneticPr fontId="7" type="noConversion"/>
  </si>
  <si>
    <t>921525b7-6987-4017-99f3-397e2203a0fd</t>
  </si>
  <si>
    <t>811bc6b9-396e-47a5-90fe-b4c9742c249c</t>
  </si>
  <si>
    <t>0f8fcbc6-0d95-4130-810d-c7cb48797108</t>
  </si>
  <si>
    <t>083d48ed-587f-45ee-b8c1-0cf9dfd6d9a1</t>
  </si>
  <si>
    <t>a221e7c4-4f97-41a8-920e-88d2ac530e1b</t>
  </si>
  <si>
    <t>a6300fd4-0c7a-47b2-9321-1e78360feb63</t>
  </si>
  <si>
    <t>b3eb6303-6e4a-4634-8de2-28ab4cb9c7b5</t>
  </si>
  <si>
    <t>5d7e814b-c588-4f18-a909-4f9dc55ac5e4</t>
  </si>
  <si>
    <t>2aefe12e-635d-498f-a9f6-bd2aff99d983</t>
  </si>
  <si>
    <t>18937e76-1aff-4002-8108-04843044dd83</t>
  </si>
  <si>
    <t>72ca581b-cf52-4795-9033-c555a0ec26c9</t>
  </si>
  <si>
    <t>3a0782bc-ca1f-44ad-8f0f-29a179865683</t>
  </si>
  <si>
    <t>a0142a2a-3a6a-4144-ab45-72baccfee66e</t>
  </si>
  <si>
    <t>97d9e76d-66a3-4055-b823-3093afba4a49</t>
  </si>
  <si>
    <t>41289b85-8c22-40f1-ae4d-9a8ed23320ae</t>
  </si>
  <si>
    <t>2d5ad857-ad7d-4eaa-9124-3b6a1b82c131</t>
  </si>
  <si>
    <t>e71c4171-8b8c-4944-a6aa-65cd4c128853</t>
  </si>
  <si>
    <t>221a961a-f591-4f71-88ae-e0384443e7ec</t>
  </si>
  <si>
    <t>4ff3c5c0-ac56-474e-bffc-841c8c864625</t>
  </si>
  <si>
    <t>d132000d-148f-4aa5-98ed-197c9efd9c1e</t>
  </si>
  <si>
    <t>f4c9d117-e1ba-4ca5-867c-ad3bc2765ca9</t>
  </si>
  <si>
    <t>ae99aacc-7075-4203-befc-87912d9486e3</t>
  </si>
  <si>
    <t>4b5a39b0-9cc1-4f10-aedf-fe82dfad274c</t>
  </si>
  <si>
    <t>268af116-54d0-4bdd-993d-ec2915f5583d</t>
  </si>
  <si>
    <t>c361f48e-18fa-4daf-ad67-a4e6ba9b406f</t>
  </si>
  <si>
    <t>5f1686b5-7307-46bd-bc40-845c72422076</t>
  </si>
  <si>
    <t>c4a0aded-3a87-4e7a-8add-bb2bc618a99f</t>
  </si>
  <si>
    <t>4129a33e-2781-4204-993e-22fa1fec2c10</t>
  </si>
  <si>
    <t>06beec0a-891b-4176-b815-574abbc640a8</t>
  </si>
  <si>
    <t>4f56c705-3955-455f-9233-42cfd16890f8</t>
  </si>
  <si>
    <t>c17b2f72-0e77-46dd-aefc-f52b19300cb9</t>
  </si>
  <si>
    <t>47780259-32ee-43d3-a98b-2bba888c11e0</t>
  </si>
  <si>
    <t>6df0bb67-35e1-4f71-bd0f-75899b8559b5</t>
  </si>
  <si>
    <t>f3aa0a78-823e-4404-9f2c-aa7e2de99c63</t>
  </si>
  <si>
    <t>9b968749-d47b-4c01-8ec4-06afe531b788</t>
  </si>
  <si>
    <t>13dc89fd-0996-49cf-8842-8a3489ae7241</t>
  </si>
  <si>
    <t>94686b1d-d0a8-455e-b74e-14a9e0413816</t>
  </si>
  <si>
    <t>7a2628cc-d661-459b-81d9-0f6dc299ec92</t>
  </si>
  <si>
    <t>ca098cfa-926f-46fc-8c17-8060b763a8b4</t>
  </si>
  <si>
    <t>51a8780d-78de-4748-89c9-05411085d740</t>
  </si>
  <si>
    <t>9a6d5543-de88-4781-96e1-5f3ce50b4f96</t>
  </si>
  <si>
    <t>155ec6ac-948e-4a27-b2fe-9c8863d3a925</t>
  </si>
  <si>
    <t>21e7ca36-b1ae-4de7-94f0-9565db6bb0b9</t>
    <phoneticPr fontId="7" type="noConversion"/>
  </si>
  <si>
    <t>52bc0849-d32e-4c9b-a912-b48ecfb14088</t>
    <phoneticPr fontId="7" type="noConversion"/>
  </si>
  <si>
    <t>b380b920-ec71-49f6-a1d7-e66a54cad339</t>
  </si>
  <si>
    <t>2fc4b1e7-2ad8-4ab5-a11b-e1996f93a46f</t>
  </si>
  <si>
    <t>8a266f5b-6ed2-4023-ac02-dcc60a466ee9</t>
  </si>
  <si>
    <t>7e7341b9-d700-4102-853b-39509755b5e3</t>
  </si>
  <si>
    <t>5ad10ee7-152d-4145-9ce2-4c5b501888c4</t>
  </si>
  <si>
    <t>6c404271-7c1a-4194-b537-4b0f83768bc1</t>
  </si>
  <si>
    <t>876e8af8-1647-4651-aa85-e96076e43255</t>
  </si>
  <si>
    <t>8daebc2e-f5f0-4445-8d41-8e0e07add54f</t>
  </si>
  <si>
    <t>6174beb7-acd2-4513-884a-6ee16abc34ec</t>
  </si>
  <si>
    <t>934be1e6-d529-43f4-a2b7-2c54ca6426e5</t>
  </si>
  <si>
    <t>ef32d9c4-36c3-4fb6-96e8-2fa5c5bd6724</t>
  </si>
  <si>
    <t>a200a1b4-146c-4bef-8059-014a6bc799ae</t>
  </si>
  <si>
    <t>0b10964d-a04f-4995-9981-68db58b80ad3</t>
  </si>
  <si>
    <t>b377fc09-92fb-4a34-a7b9-8bacd73bf111</t>
  </si>
  <si>
    <t>eb6bfa2c-af87-467e-a5bd-3dd1c099dcf8</t>
  </si>
  <si>
    <t>3cc0b2fb-9d48-41b9-8f83-0268fb50e55b</t>
  </si>
  <si>
    <t>6715e4f2-e4db-4ded-84dd-da884f6ce9cd</t>
  </si>
  <si>
    <t>9515c0ee-a976-44aa-a26c-b9df02e5584a</t>
  </si>
  <si>
    <t>e4f0c126-8975-40cd-8117-eb48a1caae3f</t>
  </si>
  <si>
    <t>8c9317a6-dfdb-4168-ace5-6dcca7bef342</t>
  </si>
  <si>
    <t>924e439f-9a83-441e-98ac-e6b36530e075</t>
  </si>
  <si>
    <t>1667aca6-065d-46e9-809a-6a949ae2e773</t>
  </si>
  <si>
    <t>5afcd9e3-cb56-4cc1-b093-2f54a7fb79c4</t>
  </si>
  <si>
    <t>b7e5465f-48c5-469a-b69c-4ffdee89fba4</t>
  </si>
  <si>
    <t>e045b7a5-fc51-4302-af15-7a4d2c17d446</t>
  </si>
  <si>
    <t>87840b77-bc9e-46d7-a940-962c4e1dcba3</t>
  </si>
  <si>
    <t>2257c59a-7074-4079-a238-33e3602947f5</t>
  </si>
  <si>
    <t>51200b2b-51e0-4461-bd4f-4959182c7bb1</t>
  </si>
  <si>
    <t>f91068e6-db61-423e-b881-372361ef5cea</t>
  </si>
  <si>
    <t>a63e3780-8582-49f5-be15-4bf7b8cf1351</t>
  </si>
  <si>
    <t>c45ff274-d2f3-417e-a2e1-1fe2b543d550</t>
  </si>
  <si>
    <t>41514b33-a335-4abf-9fc2-6f794752a801</t>
  </si>
  <si>
    <t>03cfea27-8779-4fc3-b29f-1463abfedd77</t>
  </si>
  <si>
    <t>186201d4-4f5d-4af9-9aac-69a620350645</t>
  </si>
  <si>
    <t>154c559c-3c58-4b6b-8186-176df9262c76</t>
  </si>
  <si>
    <t>1f78dac9-340a-4791-af22-8822639ff266</t>
  </si>
  <si>
    <t>79d9dc33-849e-49c8-bbd8-05ef5151c9dd</t>
  </si>
  <si>
    <t>2106f099-2cfc-4478-8c05-ce3b61a03b3f</t>
  </si>
  <si>
    <t>cdbdacac-4c4d-4149-8423-7bd817e07086</t>
  </si>
  <si>
    <t>12d86e65-ea62-497d-9419-0348c0548634</t>
  </si>
  <si>
    <t>63146cec-29a6-49e7-b3b7-939494754fad</t>
  </si>
  <si>
    <t>62e34827-8a51-4fe2-9502-b4d5a436aea6</t>
  </si>
  <si>
    <t>720b5c40-e866-482d-998e-b22f57f17ddc</t>
  </si>
  <si>
    <t>c934bbf6-d699-4d11-b9f8-e0fbb9d87715</t>
  </si>
  <si>
    <t>ed779115-d93d-4f13-8fee-683f7694eee7</t>
  </si>
  <si>
    <t>b0f2b1ef-3b1a-4008-a9ba-9e5c8a752c68</t>
  </si>
  <si>
    <t>c1fe8fbd-a7d9-4188-86b1-88f2d9e0e471</t>
  </si>
  <si>
    <t>08cf06b1-99b5-4564-8f60-e7e61abb89cd</t>
  </si>
  <si>
    <t>17d22e34-c311-453f-8885-eebaa08719a5</t>
  </si>
  <si>
    <t>d6b3d62b-22b9-45f0-9ecc-236cb1b9905c</t>
  </si>
  <si>
    <t>e3dbab35-ce51-469c-abc9-bde1755ff003</t>
    <phoneticPr fontId="7" type="noConversion"/>
  </si>
  <si>
    <t>211ba910-4896-4d5e-9a40-2eb7caaf0309</t>
  </si>
  <si>
    <t>4f3f5c4c-1ab0-4402-9842-d2d8a4befd47</t>
  </si>
  <si>
    <t>009ffe40-c796-454d-a1bc-89677ec7906b</t>
  </si>
  <si>
    <t>2b238ed7-1e0d-4bde-bf9f-8dc18bb073f3</t>
  </si>
  <si>
    <t>c0274fc3-e806-456b-8578-fe72dc99c708</t>
  </si>
  <si>
    <t>38a122d0-3388-4aa8-af6d-5c6bd46df7e1</t>
  </si>
  <si>
    <t>e9cd0921-d4bb-4e9f-9630-cc4d7413075a</t>
  </si>
  <si>
    <t>d2518078-e7c9-4248-861e-edd6a599f158</t>
  </si>
  <si>
    <t>dfc6456e-98ff-4216-8d8d-5262c337c396</t>
  </si>
  <si>
    <t>623c56d5-2558-4121-9adc-141f49159bc0</t>
  </si>
  <si>
    <t>78a28e98-d76b-4e92-ac97-6062c16cd4ad</t>
  </si>
  <si>
    <t>489d1faf-b95e-48ad-b4e2-30642ccce46e</t>
  </si>
  <si>
    <t>e77ef494-d531-47ec-bf8c-a493d35b5b6a</t>
  </si>
  <si>
    <t>d12c64e0-0901-48b2-ad2e-6ce13bd2d84a</t>
  </si>
  <si>
    <t>fac38e09-ab9d-4165-9e1a-dd4b3f3a34f6</t>
  </si>
  <si>
    <t>169c2272-af2d-42ca-9f6e-720e4857b0a0</t>
  </si>
  <si>
    <t>849564bb-d794-471e-8b65-c2a4654d9ddd</t>
  </si>
  <si>
    <t>f64ad2a4-4265-4fd1-a750-fdb2d345f760</t>
  </si>
  <si>
    <t>65432dbd-1b34-439e-b960-6570f29d1c88</t>
  </si>
  <si>
    <t>cb2c5dff-275b-4af4-af5f-af82a45049af</t>
  </si>
  <si>
    <t>220140f4-0398-476a-80a2-7fa72b1526a6</t>
  </si>
  <si>
    <t>e70c024b-40a1-477d-9633-9778d6a889b1</t>
  </si>
  <si>
    <t>235e363f-90b4-4ffc-8fb5-e4b3d94a057e</t>
  </si>
  <si>
    <t>9a8db353-9f82-4850-aaf8-84709bcb1c1f</t>
  </si>
  <si>
    <t>2c35a026-f10b-4e00-89f8-4609fee28972</t>
  </si>
  <si>
    <t>0cf448a8-dfc9-49f7-a804-95948442d574</t>
  </si>
  <si>
    <t>e1a54094-3d6a-40af-8d8e-605c8510a249</t>
  </si>
  <si>
    <t>6267170f-e03e-49f4-97b1-064ce76cb944</t>
  </si>
  <si>
    <t>17e087ae-b909-4ae9-ae4b-b0de991edcb7</t>
  </si>
  <si>
    <t>a9b08f59-119f-4700-ab2a-5a60f0563206</t>
    <phoneticPr fontId="7" type="noConversion"/>
  </si>
  <si>
    <t>7fdce4a3-75d9-4388-9c46-4fe34e0cb738</t>
  </si>
  <si>
    <t>875f8a09-2347-4c28-bb65-a36c7e6b0b05</t>
  </si>
  <si>
    <t>d3a9901c-5d03-4e2b-97bb-81e38b6488bd</t>
  </si>
  <si>
    <t>900cffb3-2aa0-4e98-a872-c80d1098bbac</t>
  </si>
  <si>
    <t>1b7c68c5-3903-4628-92f7-5ccdd26cab26</t>
  </si>
  <si>
    <t>e96cfacf-f500-4ac4-b120-7728f78d5be5</t>
  </si>
  <si>
    <t>9cfd9e22-2a62-42ad-a09a-403e91024568</t>
  </si>
  <si>
    <t>e3d94bef-1a01-4870-b213-07361b7f8c46</t>
  </si>
  <si>
    <t>2fab78ac-7ba5-43d2-9ba8-805837d1391c</t>
  </si>
  <si>
    <t>0c441db7-db4e-4835-9d03-d66e56e33afc</t>
  </si>
  <si>
    <t>e6b89a3a-4aa9-4679-b1be-ceea91cd9b08</t>
  </si>
  <si>
    <t>606063f7-b1f5-49ed-bd8f-609b304104fc</t>
  </si>
  <si>
    <t>4af6584f-55ac-4cdc-b9d0-189cb5b77fde</t>
  </si>
  <si>
    <t>48324dec-932d-4306-b80c-855c92b1c40a</t>
  </si>
  <si>
    <t>ecfb3f50-5a63-4e22-951b-a33cdeac94ef</t>
  </si>
  <si>
    <t>07062f6f-7eb8-425d-8698-c20a6003a255</t>
  </si>
  <si>
    <t>c2e13bab-cc06-410e-9014-acdaa63e025b</t>
  </si>
  <si>
    <t>bd4b5ca4-241c-40af-becb-733e78f548dd</t>
  </si>
  <si>
    <t>107baa6a-f1e0-4acc-80b6-e3866690d2c8</t>
  </si>
  <si>
    <t>9967edd1-48f4-446c-8490-caec307b86b3</t>
  </si>
  <si>
    <t>fc2c6e8d-c718-4d7a-994c-c17e826757a7</t>
  </si>
  <si>
    <t>7071c663-24b6-4d97-9471-05fa0c328cf6</t>
  </si>
  <si>
    <t>5408cb9d-a8ab-492b-9cb4-47f326ff95e6</t>
  </si>
  <si>
    <t>57c082e8-5273-4365-8462-6fc9814e8f2f</t>
  </si>
  <si>
    <t>5a9a4658-6878-4425-a987-6c55d70dee0b</t>
  </si>
  <si>
    <t>30ec6a42-10b8-4bd9-9fb2-65c091b7cf8f</t>
  </si>
  <si>
    <t>c8776d64-1348-475a-ab6f-687f25ca9447</t>
  </si>
  <si>
    <t>8862b0b1-4a63-435e-bb0d-61862c4f9015</t>
  </si>
  <si>
    <t>b24a094d-77ba-4815-a1c2-7c078fc38d3a</t>
  </si>
  <si>
    <t>cfef338c-1622-49f3-90e2-55a2b3a9ce4c</t>
    <phoneticPr fontId="7" type="noConversion"/>
  </si>
  <si>
    <t>24f9fe3b-e735-4c4e-ba01-851665862634</t>
  </si>
  <si>
    <t>788c147d-c3ff-428e-89a1-6d987fc25782</t>
  </si>
  <si>
    <t>7cd8278a-7466-4373-819c-aae7a75c86e3</t>
  </si>
  <si>
    <t>b1fc357d-2746-4cb9-9ae6-de4f9dbd0787</t>
  </si>
  <si>
    <t>3a40fc3a-222f-472a-b6bb-7c5395f9d5c5</t>
  </si>
  <si>
    <t>00a83324-c647-4c6d-94a1-663757896fb4</t>
  </si>
  <si>
    <t>c24126dd-b1a6-49f0-a56f-6cf86c83ba4e</t>
  </si>
  <si>
    <t>d79f8c07-ea81-4410-86d1-451f9de2cdc1</t>
  </si>
  <si>
    <t>091c9db0-05b7-401a-a18d-50589f34ad3b</t>
  </si>
  <si>
    <t>23f4aa74-e949-4f34-87ad-1d00e939c853</t>
  </si>
  <si>
    <t>53c5edb0-24b3-45e4-b3be-5444497f8b0b</t>
  </si>
  <si>
    <t>02c940f4-06d2-4763-94eb-46596071a28c</t>
  </si>
  <si>
    <t>5dae78a8-aea4-4ad2-90fc-1af2c5ae6e34</t>
  </si>
  <si>
    <t>04f2376b-288f-4fbc-8f23-2e008efdf989</t>
  </si>
  <si>
    <t>428ee1e6-2e37-46e8-ab95-2030545ad78d</t>
  </si>
  <si>
    <t>169a3d8d-90b6-48d4-92bd-8abb309a0e74</t>
  </si>
  <si>
    <t>5c2f3c79-c145-45a4-8d85-50689dca25ce</t>
  </si>
  <si>
    <t>9d1c7ed7-e9b0-4c2f-b23c-668d7bbb3187</t>
  </si>
  <si>
    <t>39b8231b-44a7-4fab-94e2-e7d82b96e539</t>
  </si>
  <si>
    <t>9c013ee6-ed55-4f43-9619-fc1d88f5926b</t>
  </si>
  <si>
    <t>cc19a1d3-d1d0-4ce6-8c88-de2f2a9f209c</t>
  </si>
  <si>
    <t>f902583e-504d-483e-9b6f-fe8f07f2d7b5</t>
  </si>
  <si>
    <t>5a66b234-9b91-4435-8dff-249432f27e6e</t>
  </si>
  <si>
    <t>5df3e8bc-0d7b-4b17-a971-039b5c57479e</t>
  </si>
  <si>
    <t>edbac52f-6301-485c-84d1-757722a43ec0</t>
  </si>
  <si>
    <t>5f5e31ad-8788-47e6-b897-93a029561a46</t>
  </si>
  <si>
    <t>dedb60aa-3883-4d3a-a9a4-e22371082687</t>
  </si>
  <si>
    <t>309550c7-bf15-42b2-8c90-c205ef09b5d1</t>
  </si>
  <si>
    <t>37d9021b-e93f-43bd-b7d3-4b24b522d5df</t>
  </si>
  <si>
    <t>9fa104d6-4b65-4d6e-9e24-7877df5aef1d</t>
  </si>
  <si>
    <t>1a5dec81-9af1-4ac9-8e21-fbeb611ca13d</t>
  </si>
  <si>
    <t>b8b5940c-ce45-4699-b0a4-564d0535c171</t>
  </si>
  <si>
    <t>b19bc455-42de-4fe2-8798-62cfcd3ad853</t>
  </si>
  <si>
    <t>6bcd01d2-4902-4722-98b6-1924a9fdcba2</t>
  </si>
  <si>
    <t>b5a5636f-58f2-47ed-90ce-5178babd0326</t>
  </si>
  <si>
    <t>88e65eb1-0503-4862-beaf-14b50bb986c4</t>
  </si>
  <si>
    <t>e578dffb-b71d-44d3-9249-0bef2c7d396c</t>
  </si>
  <si>
    <t>ca69a393-dff9-406e-a7a7-ea72b7806882</t>
  </si>
  <si>
    <t>d1136066-8446-4930-85f6-b20b7420c739</t>
  </si>
  <si>
    <t>270a34ef-54ec-40c4-a4f1-070d4da778cf</t>
  </si>
  <si>
    <t>eb30f3cc-051a-4a71-be57-670df0ab011f</t>
  </si>
  <si>
    <t>de2f8c90-a6cd-4f79-a01c-9be26cefb0f6</t>
  </si>
  <si>
    <t>20ba71f8-fe5f-415e-a655-8dc35a05e633</t>
  </si>
  <si>
    <t>9447eb14-a0b8-4c17-9122-2b2680f5f1d0</t>
  </si>
  <si>
    <t>2eb890ce-7179-465e-9dcd-fc155e114a0c</t>
  </si>
  <si>
    <t>d0d03e06-b539-4d7d-bf76-45f4ae3b47e7</t>
  </si>
  <si>
    <t>90df99e3-a84b-4d30-8e09-2d9620eba5ef</t>
  </si>
  <si>
    <t>3197f6e3-fcaa-450f-ac66-bb9dcfd6952a</t>
  </si>
  <si>
    <t>c989e50b-b2fe-4782-8519-f416350ad17e</t>
  </si>
  <si>
    <t>838b760c-0643-4794-b246-64a7074b4f17</t>
  </si>
  <si>
    <t>4f91fa21-2a4d-434d-9509-9b696b17f19b</t>
  </si>
  <si>
    <t>79d0f382-cbc7-400b-8c4b-ce1e41d47b2c</t>
  </si>
  <si>
    <t>c0f160ea-8c2a-402b-9ac7-8846788e9772</t>
  </si>
  <si>
    <t>a55c2ba6-45db-4776-9509-9fdb915176b7</t>
  </si>
  <si>
    <t>7f7531da-8ae2-495c-b78e-9d3386ddd53a</t>
  </si>
  <si>
    <t>1d861cee-a4f9-4be8-a157-aec5bda1fb79</t>
  </si>
  <si>
    <t>22cd7998-3b02-4ffa-bf79-ffe00b447096</t>
  </si>
  <si>
    <t>076895c4-ff70-4e20-84a6-3b06b0891f88</t>
  </si>
  <si>
    <t>8712aadc-05da-4708-a6ff-ff608db98e4e</t>
    <phoneticPr fontId="7" type="noConversion"/>
  </si>
  <si>
    <t>0014584a-041a-4837-bffb-fed4a050cb78</t>
  </si>
  <si>
    <t>8f11aa54-12b2-4b92-a161-7ce0a5b3d339</t>
  </si>
  <si>
    <t>0fdaa9bc-65d1-4e8c-93b5-422bb478227e</t>
  </si>
  <si>
    <t>c7a81284-14bf-4f2b-b5f7-163c2265fd2e</t>
  </si>
  <si>
    <t>51f67645-07de-473a-a406-42adbea6aafe</t>
  </si>
  <si>
    <t>6b1825bc-3001-41e9-8357-efd94d20f782</t>
  </si>
  <si>
    <t>a56367d5-07d1-4720-b863-ff949c7bb704</t>
  </si>
  <si>
    <t>d367dc6a-2441-4cc3-8ce0-4c2a667afbc3</t>
  </si>
  <si>
    <t>a</t>
    <phoneticPr fontId="7" type="noConversion"/>
  </si>
  <si>
    <t>b</t>
    <phoneticPr fontId="7" type="noConversion"/>
  </si>
  <si>
    <t>e</t>
    <phoneticPr fontId="7" type="noConversion"/>
  </si>
  <si>
    <t>ff</t>
    <phoneticPr fontId="7" type="noConversion"/>
  </si>
  <si>
    <t>用户ID（aws系列）</t>
    <phoneticPr fontId="7" type="noConversion"/>
  </si>
  <si>
    <t>密码</t>
  </si>
  <si>
    <t>170514fa-0784-495f-8466-2a83b1d0e393</t>
    <phoneticPr fontId="7" type="noConversion"/>
  </si>
  <si>
    <t>854eb32d-27aa-4069-b651-4060593e33ac</t>
  </si>
  <si>
    <t>adc4c53a-38ff-4e1d-ae97-78afb4a81224</t>
  </si>
  <si>
    <t>ee82687c-a075-4522-9562-3af87e3fe658</t>
  </si>
  <si>
    <t>daf2c4f5-191c-4c06-bf1c-4baaf7cc1c76</t>
  </si>
  <si>
    <t>76c01fe4-8bec-4207-9d0e-057ee7988bee</t>
  </si>
  <si>
    <t>f36a932d-97ad-439f-ac39-7ee19e5f0cd8</t>
  </si>
  <si>
    <t>b4210d85-47f3-4ca1-b66a-b829596f11d4</t>
  </si>
  <si>
    <t>24ad30eb-c49f-4a51-a103-39f089fff3df</t>
  </si>
  <si>
    <t>746a852a-d987-4097-9541-a49bc507657e</t>
  </si>
  <si>
    <t>a86d91f9-4e7d-47fd-b9c3-ca2eb117b03f</t>
  </si>
  <si>
    <t>e49068a6-b41e-43d9-8eec-40393ba1b995</t>
  </si>
  <si>
    <t>8c3d9d25-ee83-488c-b18e-d15ead39633a</t>
  </si>
  <si>
    <t>d08e5185-0e04-48f3-9ab3-c509acda6083</t>
  </si>
  <si>
    <t>0f2febe2-a369-4f60-9a70-39c8068e70b7</t>
  </si>
  <si>
    <t>886ade6b-25fd-48eb-9104-8a71b5d8a0e2</t>
  </si>
  <si>
    <t>f87632e1-fb5e-4758-ad9e-ee42c35da43f</t>
  </si>
  <si>
    <t>a46f6a5b-deee-450f-ba9c-1e4bb323bc23</t>
  </si>
  <si>
    <t>4cbb6363-558c-4967-a7d6-68978e1ae58a</t>
  </si>
  <si>
    <t>当建机专用为空时，默认使用域名</t>
  </si>
  <si>
    <t>yourdomain.com</t>
    <phoneticPr fontId="7" type="noConversion"/>
  </si>
  <si>
    <t>我的手机</t>
    <phoneticPr fontId="7" type="noConversion"/>
  </si>
  <si>
    <t>Reality_gRPC</t>
  </si>
  <si>
    <t>Reality_gRPC</t>
    <phoneticPr fontId="7" type="noConversion"/>
  </si>
  <si>
    <t>Reality_TLS</t>
  </si>
  <si>
    <t>Reality_TLS</t>
    <phoneticPr fontId="7" type="noConversion"/>
  </si>
  <si>
    <t>Surfboard</t>
    <phoneticPr fontId="7" type="noConversion"/>
  </si>
  <si>
    <t>Surfboard</t>
    <phoneticPr fontId="7" type="noConversion"/>
  </si>
  <si>
    <t>* 左侧蓝色列均需要手动修改</t>
    <phoneticPr fontId="7" type="noConversion"/>
  </si>
  <si>
    <t>* 右侧黑色全自动</t>
    <phoneticPr fontId="7" type="noConversion"/>
  </si>
  <si>
    <t>这个表里啥也不用动，
只需要调整“建机专用”的表</t>
    <phoneticPr fontId="5" type="noConversion"/>
  </si>
  <si>
    <t>VMess_WS</t>
    <phoneticPr fontId="7" type="noConversion"/>
  </si>
  <si>
    <t>VMESS_WS</t>
  </si>
  <si>
    <t>本行右侧可在CLASH中使用单行配置。请这里选择协议类型--&gt;</t>
    <phoneticPr fontId="7" type="noConversion"/>
  </si>
  <si>
    <t>cf02.aaw.eu.org</t>
    <phoneticPr fontId="7" type="noConversion"/>
  </si>
  <si>
    <t>cf03.aaw.eu.org</t>
  </si>
  <si>
    <t>cf04.aaw.eu.org</t>
  </si>
  <si>
    <t>cf05.aaw.eu.org</t>
  </si>
  <si>
    <t>cf06.aaw.eu.org</t>
  </si>
  <si>
    <t>cf07.aaw.eu.org</t>
  </si>
  <si>
    <t>cf08.aaw.eu.org</t>
  </si>
  <si>
    <t>cf09.aaw.eu.org</t>
  </si>
  <si>
    <t>cf10.aaw.eu.org</t>
  </si>
  <si>
    <t>cf11.aaw.eu.org</t>
  </si>
  <si>
    <t>cf12.aaw.eu.org</t>
  </si>
  <si>
    <t>cf13.aaw.eu.org</t>
  </si>
  <si>
    <t>cf14.aaw.eu.org</t>
  </si>
  <si>
    <t>cf15.aaw.eu.org</t>
  </si>
  <si>
    <t>cf16.aaw.eu.org</t>
  </si>
  <si>
    <t>cf17.aaw.eu.org</t>
  </si>
  <si>
    <t>cf18.aaw.eu.org</t>
  </si>
  <si>
    <t>cf19.aaw.eu.org</t>
  </si>
  <si>
    <t>saeaa</t>
    <phoneticPr fontId="7" type="noConversion"/>
  </si>
  <si>
    <t>vp0.edu.tw</t>
    <phoneticPr fontId="7" type="noConversion"/>
  </si>
  <si>
    <t>vp1.edu.tw</t>
  </si>
  <si>
    <t>vp2.edu.tw</t>
  </si>
  <si>
    <t>vp3.edu.tw</t>
  </si>
  <si>
    <t>vp4.edu.tw</t>
  </si>
  <si>
    <t>vp5.edu.tw</t>
  </si>
  <si>
    <t>vp6.edu.tw</t>
  </si>
  <si>
    <t>vp7.edu.tw</t>
  </si>
  <si>
    <t>vp8.edu.tw</t>
  </si>
  <si>
    <t>vp9.edu.tw</t>
  </si>
  <si>
    <t>vp10.edu.tw</t>
  </si>
  <si>
    <t>vp11.edu.tw</t>
  </si>
  <si>
    <t>vp12.edu.tw</t>
  </si>
  <si>
    <t>vp13.edu.tw</t>
  </si>
  <si>
    <t>vp14.edu.tw</t>
  </si>
  <si>
    <t>vp15.edu.tw</t>
  </si>
  <si>
    <t>vp16.edu.tw</t>
  </si>
  <si>
    <t>vp17.edu.tw</t>
  </si>
  <si>
    <t>aws.edu.tw</t>
  </si>
  <si>
    <t>vip.edu.tw</t>
  </si>
  <si>
    <t>gcp1.edu.tw</t>
  </si>
  <si>
    <t>gcp2.edu.tw</t>
  </si>
  <si>
    <t>gcp3.edu.tw</t>
  </si>
  <si>
    <t>gcp4.edu.tw</t>
  </si>
  <si>
    <t>gcp5.edu.tw</t>
  </si>
  <si>
    <t>gcp6.edu.tw</t>
  </si>
  <si>
    <t>gcp7.edu.tw</t>
  </si>
  <si>
    <t>gcp8.edu.tw</t>
  </si>
  <si>
    <t>gcp9.edu.tw</t>
  </si>
  <si>
    <t>gcp10.edu.tw</t>
  </si>
  <si>
    <t>va1.edu.tw</t>
  </si>
  <si>
    <t>va2.edu.tw</t>
  </si>
  <si>
    <t>va3.edu.tw</t>
  </si>
  <si>
    <t>va4.edu.tw</t>
  </si>
  <si>
    <t>va5.edu.tw</t>
  </si>
  <si>
    <t>va6.edu.tw</t>
  </si>
  <si>
    <t>sv0.edu.tw</t>
  </si>
  <si>
    <t>sv1.edu.tw</t>
  </si>
  <si>
    <t>sv2.edu.tw</t>
  </si>
  <si>
    <t>sv3.edu.tw</t>
  </si>
  <si>
    <t>sv4.edu.tw</t>
  </si>
  <si>
    <t>sv5.edu.tw</t>
  </si>
  <si>
    <t>sv6.edu.tw</t>
  </si>
  <si>
    <t>sv7.edu.tw</t>
  </si>
  <si>
    <t>sv8.edu.tw</t>
  </si>
  <si>
    <t>sv9.edu.tw</t>
  </si>
  <si>
    <t>cf19.eraw.eu.org</t>
    <phoneticPr fontId="7" type="noConversion"/>
  </si>
  <si>
    <t>cf20.eraw.eu.org</t>
  </si>
  <si>
    <t>cf21.eraw.eu.org</t>
  </si>
  <si>
    <t>cf22.eraw.eu.org</t>
  </si>
  <si>
    <t>cf23.eraw.eu.org</t>
  </si>
  <si>
    <t>cf24.eraw.eu.org</t>
  </si>
  <si>
    <t>cf25.eraw.eu.org</t>
  </si>
  <si>
    <t>cf26.eraw.eu.org</t>
  </si>
  <si>
    <t>cf27.eraw.eu.org</t>
  </si>
  <si>
    <t>cf28.eraw.eu.org</t>
  </si>
  <si>
    <t>cf29.eraw.eu.org</t>
  </si>
  <si>
    <t>cf30.eraw.eu.org</t>
  </si>
  <si>
    <t>cf31.eraw.eu.org</t>
  </si>
  <si>
    <t>cf32.eraw.eu.org</t>
  </si>
  <si>
    <t>cf33.eraw.eu.org</t>
  </si>
  <si>
    <t>cf34.eraw.eu.org</t>
  </si>
  <si>
    <t>cf35.eraw.eu.org</t>
  </si>
  <si>
    <t>cf36.eraw.eu.org</t>
  </si>
  <si>
    <t>cf37.eraw.eu.org</t>
  </si>
  <si>
    <t>cf38.eraw.eu.org</t>
  </si>
  <si>
    <t>cf39.eraw.eu.org</t>
  </si>
  <si>
    <t>cf40.eraw.eu.org</t>
  </si>
  <si>
    <t>cf41.eraw.eu.org</t>
  </si>
  <si>
    <t>cf42.eraw.eu.org</t>
  </si>
  <si>
    <t>cf43.eraw.eu.org</t>
  </si>
  <si>
    <t>cf44.eraw.eu.org</t>
  </si>
  <si>
    <t>dadfe.edu.cn</t>
    <phoneticPr fontId="7" type="noConversion"/>
  </si>
  <si>
    <t>cf02.e6w.eu.org</t>
    <phoneticPr fontId="7" type="noConversion"/>
  </si>
  <si>
    <t>cf02.e7w.eu.org</t>
  </si>
  <si>
    <t>cf02.e8w.eu.org</t>
  </si>
  <si>
    <t>cf02.e9w.eu.org</t>
  </si>
  <si>
    <t>cf02.e10w.eu.org</t>
  </si>
  <si>
    <t>cf02.e11w.eu.org</t>
  </si>
  <si>
    <t>cf02.e12w.eu.org</t>
  </si>
  <si>
    <t>cf02.e13w.eu.org</t>
  </si>
  <si>
    <t>cf02.e14w.eu.org</t>
  </si>
  <si>
    <t>cf02.e15w.eu.org</t>
  </si>
  <si>
    <t>cf02.e16w.eu.org</t>
  </si>
  <si>
    <t>cf02.e17w.eu.org</t>
  </si>
  <si>
    <t>cf02.e18w.eu.org</t>
  </si>
  <si>
    <t>cf02.e19w.eu.org</t>
  </si>
  <si>
    <t>cf02.e20w.eu.org</t>
  </si>
  <si>
    <t>cf02.e21w.eu.org</t>
  </si>
  <si>
    <t>cf02.e22w.eu.org</t>
  </si>
  <si>
    <t>cf02.e23w.eu.org</t>
  </si>
  <si>
    <t>cf02.e24w.eu.org</t>
  </si>
  <si>
    <t>cf02.e25w.eu.org</t>
  </si>
  <si>
    <t>64ffw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</si>
</sst>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rgb="FFFF0000"/>
      <name val="等线"/>
      <family val="2"/>
      <scheme val="minor"/>
    </font>
    <font>
      <sz val="11"/>
      <color rgb="FFC00000"/>
      <name val="等线"/>
      <family val="2"/>
      <scheme val="minor"/>
    </font>
    <font>
      <sz val="11"/>
      <color rgb="FF00B050"/>
      <name val="等线"/>
      <family val="2"/>
      <scheme val="minor"/>
    </font>
    <font>
      <sz val="8"/>
      <name val="等线"/>
      <family val="2"/>
      <charset val="134"/>
      <scheme val="minor"/>
    </font>
    <font>
      <b/>
      <sz val="11"/>
      <color rgb="FF00B050"/>
      <name val="等线"/>
      <family val="2"/>
      <scheme val="minor"/>
    </font>
    <font>
      <sz val="9"/>
      <name val="等线"/>
      <family val="2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00B050"/>
      <name val="等线"/>
      <family val="3"/>
      <charset val="134"/>
      <scheme val="minor"/>
    </font>
    <font>
      <b/>
      <sz val="12"/>
      <color rgb="FF7030A0"/>
      <name val="等线"/>
      <family val="3"/>
      <charset val="134"/>
      <scheme val="minor"/>
    </font>
    <font>
      <b/>
      <sz val="12"/>
      <color theme="9"/>
      <name val="等线"/>
      <family val="3"/>
      <charset val="134"/>
      <scheme val="minor"/>
    </font>
    <font>
      <b/>
      <sz val="12"/>
      <color theme="5" tint="-0.249977111117893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i/>
      <sz val="11"/>
      <color theme="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4"/>
      <color theme="0"/>
      <name val="等线"/>
      <family val="3"/>
      <charset val="134"/>
      <scheme val="minor"/>
    </font>
    <font>
      <b/>
      <i/>
      <sz val="11"/>
      <color theme="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theme="1"/>
      <name val="等线"/>
      <family val="2"/>
      <scheme val="minor"/>
    </font>
    <font>
      <i/>
      <sz val="11"/>
      <name val="等线"/>
      <family val="2"/>
      <scheme val="minor"/>
    </font>
    <font>
      <b/>
      <sz val="11"/>
      <color theme="0"/>
      <name val="等线"/>
      <family val="2"/>
      <scheme val="minor"/>
    </font>
    <font>
      <sz val="11"/>
      <color rgb="FF00B0F0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  <font>
      <sz val="8"/>
      <color theme="1"/>
      <name val="等线"/>
      <family val="2"/>
      <charset val="134"/>
      <scheme val="minor"/>
    </font>
    <font>
      <sz val="8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2"/>
      <color rgb="FFFFFF00"/>
      <name val="等线"/>
      <family val="3"/>
      <charset val="134"/>
      <scheme val="minor"/>
    </font>
    <font>
      <sz val="8"/>
      <color rgb="FFFF0000"/>
      <name val="等线"/>
      <family val="2"/>
      <charset val="134"/>
      <scheme val="minor"/>
    </font>
    <font>
      <sz val="8"/>
      <color theme="4"/>
      <name val="等线"/>
      <family val="3"/>
      <charset val="134"/>
      <scheme val="minor"/>
    </font>
    <font>
      <sz val="8"/>
      <color theme="9" tint="-0.249977111117893"/>
      <name val="等线"/>
      <family val="3"/>
      <charset val="134"/>
      <scheme val="minor"/>
    </font>
    <font>
      <sz val="8"/>
      <color rgb="FF00B0F0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  <font>
      <b/>
      <i/>
      <sz val="1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9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/>
    <xf numFmtId="0" fontId="9" fillId="0" borderId="0" xfId="0" applyFont="1"/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vertical="center"/>
    </xf>
    <xf numFmtId="11" fontId="0" fillId="0" borderId="2" xfId="0" applyNumberFormat="1" applyBorder="1" applyAlignment="1">
      <alignment vertical="center"/>
    </xf>
    <xf numFmtId="0" fontId="9" fillId="0" borderId="0" xfId="0" applyFont="1" applyAlignment="1">
      <alignment vertical="center"/>
    </xf>
    <xf numFmtId="0" fontId="0" fillId="0" borderId="0" xfId="0" applyAlignment="1">
      <alignment vertical="center" shrinkToFit="1"/>
    </xf>
    <xf numFmtId="0" fontId="1" fillId="0" borderId="0" xfId="0" applyFont="1" applyAlignment="1">
      <alignment vertical="center"/>
    </xf>
    <xf numFmtId="0" fontId="9" fillId="0" borderId="1" xfId="0" applyFont="1" applyBorder="1" applyAlignment="1">
      <alignment horizontal="center" vertical="center"/>
    </xf>
    <xf numFmtId="11" fontId="0" fillId="0" borderId="0" xfId="0" applyNumberFormat="1" applyAlignment="1">
      <alignment vertical="center"/>
    </xf>
    <xf numFmtId="0" fontId="0" fillId="5" borderId="1" xfId="0" applyFill="1" applyBorder="1"/>
    <xf numFmtId="0" fontId="15" fillId="0" borderId="0" xfId="0" applyFont="1"/>
    <xf numFmtId="0" fontId="16" fillId="10" borderId="1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8" borderId="1" xfId="0" applyFont="1" applyFill="1" applyBorder="1" applyAlignment="1">
      <alignment horizontal="center" vertical="center" shrinkToFit="1"/>
    </xf>
    <xf numFmtId="0" fontId="22" fillId="0" borderId="0" xfId="0" applyFont="1"/>
    <xf numFmtId="0" fontId="21" fillId="0" borderId="0" xfId="0" applyFont="1"/>
    <xf numFmtId="0" fontId="21" fillId="0" borderId="0" xfId="0" applyFont="1" applyAlignment="1">
      <alignment horizontal="center" vertical="center"/>
    </xf>
    <xf numFmtId="0" fontId="20" fillId="8" borderId="0" xfId="0" applyFont="1" applyFill="1" applyAlignment="1">
      <alignment horizontal="center" vertical="center"/>
    </xf>
    <xf numFmtId="0" fontId="20" fillId="8" borderId="1" xfId="0" applyFont="1" applyFill="1" applyBorder="1" applyAlignment="1">
      <alignment horizontal="center" vertical="center"/>
    </xf>
    <xf numFmtId="0" fontId="23" fillId="12" borderId="1" xfId="0" applyFont="1" applyFill="1" applyBorder="1" applyAlignment="1">
      <alignment horizontal="center"/>
    </xf>
    <xf numFmtId="49" fontId="23" fillId="12" borderId="1" xfId="0" applyNumberFormat="1" applyFont="1" applyFill="1" applyBorder="1"/>
    <xf numFmtId="0" fontId="23" fillId="0" borderId="0" xfId="0" applyFont="1"/>
    <xf numFmtId="49" fontId="23" fillId="0" borderId="0" xfId="0" applyNumberFormat="1" applyFont="1"/>
    <xf numFmtId="0" fontId="23" fillId="0" borderId="1" xfId="0" applyFont="1" applyBorder="1" applyAlignment="1">
      <alignment horizontal="center"/>
    </xf>
    <xf numFmtId="0" fontId="0" fillId="0" borderId="1" xfId="0" applyBorder="1"/>
    <xf numFmtId="49" fontId="0" fillId="0" borderId="1" xfId="0" applyNumberFormat="1" applyBorder="1"/>
    <xf numFmtId="49" fontId="0" fillId="0" borderId="0" xfId="0" applyNumberFormat="1"/>
    <xf numFmtId="11" fontId="0" fillId="0" borderId="1" xfId="0" applyNumberFormat="1" applyBorder="1"/>
    <xf numFmtId="0" fontId="23" fillId="0" borderId="4" xfId="0" applyFont="1" applyBorder="1" applyAlignment="1">
      <alignment horizontal="center"/>
    </xf>
    <xf numFmtId="0" fontId="0" fillId="0" borderId="4" xfId="0" applyBorder="1"/>
    <xf numFmtId="49" fontId="0" fillId="0" borderId="4" xfId="0" applyNumberFormat="1" applyBorder="1"/>
    <xf numFmtId="0" fontId="1" fillId="0" borderId="4" xfId="0" applyFont="1" applyBorder="1"/>
    <xf numFmtId="49" fontId="24" fillId="0" borderId="1" xfId="0" applyNumberFormat="1" applyFont="1" applyBorder="1"/>
    <xf numFmtId="0" fontId="23" fillId="0" borderId="0" xfId="0" applyFont="1" applyAlignment="1">
      <alignment horizontal="center"/>
    </xf>
    <xf numFmtId="0" fontId="16" fillId="11" borderId="0" xfId="0" applyFont="1" applyFill="1" applyAlignment="1">
      <alignment horizontal="center"/>
    </xf>
    <xf numFmtId="0" fontId="16" fillId="11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 shrinkToFit="1"/>
    </xf>
    <xf numFmtId="0" fontId="16" fillId="10" borderId="3" xfId="0" applyFont="1" applyFill="1" applyBorder="1" applyAlignment="1">
      <alignment horizontal="center" vertical="center" shrinkToFit="1"/>
    </xf>
    <xf numFmtId="0" fontId="9" fillId="0" borderId="1" xfId="0" applyFont="1" applyBorder="1"/>
    <xf numFmtId="11" fontId="0" fillId="0" borderId="2" xfId="0" applyNumberFormat="1" applyBorder="1"/>
    <xf numFmtId="0" fontId="0" fillId="0" borderId="1" xfId="0" applyBorder="1" applyAlignment="1">
      <alignment horizontal="center"/>
    </xf>
    <xf numFmtId="0" fontId="9" fillId="10" borderId="0" xfId="0" applyFont="1" applyFill="1"/>
    <xf numFmtId="11" fontId="0" fillId="10" borderId="0" xfId="0" applyNumberFormat="1" applyFill="1"/>
    <xf numFmtId="0" fontId="0" fillId="10" borderId="0" xfId="0" applyFill="1"/>
    <xf numFmtId="0" fontId="0" fillId="10" borderId="0" xfId="0" applyFill="1" applyAlignment="1">
      <alignment horizontal="center"/>
    </xf>
    <xf numFmtId="0" fontId="8" fillId="10" borderId="0" xfId="0" applyFont="1" applyFill="1" applyAlignment="1">
      <alignment horizontal="left" vertical="center" shrinkToFit="1"/>
    </xf>
    <xf numFmtId="1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shrinkToFit="1"/>
    </xf>
    <xf numFmtId="0" fontId="9" fillId="3" borderId="1" xfId="0" applyFont="1" applyFill="1" applyBorder="1"/>
    <xf numFmtId="0" fontId="0" fillId="0" borderId="0" xfId="0" applyAlignment="1">
      <alignment horizontal="left"/>
    </xf>
    <xf numFmtId="49" fontId="0" fillId="0" borderId="1" xfId="0" applyNumberFormat="1" applyBorder="1" applyAlignment="1">
      <alignment horizontal="center" vertical="center"/>
    </xf>
    <xf numFmtId="0" fontId="8" fillId="0" borderId="0" xfId="0" applyFont="1"/>
    <xf numFmtId="0" fontId="0" fillId="0" borderId="0" xfId="0" applyAlignment="1">
      <alignment horizontal="left" shrinkToFit="1"/>
    </xf>
    <xf numFmtId="0" fontId="6" fillId="0" borderId="0" xfId="0" applyFont="1"/>
    <xf numFmtId="0" fontId="6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1" fillId="0" borderId="0" xfId="0" applyFont="1"/>
    <xf numFmtId="0" fontId="16" fillId="11" borderId="0" xfId="0" applyFont="1" applyFill="1" applyAlignment="1">
      <alignment horizontal="center" vertical="center"/>
    </xf>
    <xf numFmtId="0" fontId="9" fillId="10" borderId="0" xfId="0" applyFont="1" applyFill="1" applyAlignment="1">
      <alignment vertical="center"/>
    </xf>
    <xf numFmtId="11" fontId="0" fillId="10" borderId="0" xfId="0" applyNumberForma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center" vertical="center"/>
    </xf>
    <xf numFmtId="0" fontId="8" fillId="10" borderId="0" xfId="0" applyFont="1" applyFill="1" applyAlignment="1">
      <alignment vertical="center" shrinkToFit="1"/>
    </xf>
    <xf numFmtId="0" fontId="31" fillId="10" borderId="1" xfId="0" applyFont="1" applyFill="1" applyBorder="1" applyAlignment="1">
      <alignment horizontal="center" vertical="center" shrinkToFit="1"/>
    </xf>
    <xf numFmtId="0" fontId="0" fillId="10" borderId="1" xfId="0" applyFill="1" applyBorder="1"/>
    <xf numFmtId="49" fontId="0" fillId="10" borderId="1" xfId="0" applyNumberFormat="1" applyFill="1" applyBorder="1"/>
    <xf numFmtId="0" fontId="23" fillId="10" borderId="1" xfId="0" applyFont="1" applyFill="1" applyBorder="1" applyAlignment="1">
      <alignment horizontal="center"/>
    </xf>
    <xf numFmtId="0" fontId="23" fillId="10" borderId="0" xfId="0" applyFont="1" applyFill="1" applyAlignment="1">
      <alignment horizontal="center"/>
    </xf>
    <xf numFmtId="49" fontId="0" fillId="10" borderId="0" xfId="0" applyNumberFormat="1" applyFill="1"/>
    <xf numFmtId="0" fontId="32" fillId="11" borderId="0" xfId="0" applyFont="1" applyFill="1" applyAlignment="1">
      <alignment vertical="center"/>
    </xf>
    <xf numFmtId="0" fontId="9" fillId="0" borderId="1" xfId="0" applyFont="1" applyBorder="1" applyAlignment="1" applyProtection="1">
      <alignment vertical="center"/>
      <protection hidden="1"/>
    </xf>
    <xf numFmtId="11" fontId="0" fillId="0" borderId="2" xfId="0" applyNumberFormat="1" applyBorder="1" applyAlignment="1" applyProtection="1">
      <alignment vertical="center"/>
      <protection hidden="1"/>
    </xf>
    <xf numFmtId="11" fontId="0" fillId="0" borderId="2" xfId="0" applyNumberFormat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29" fillId="0" borderId="1" xfId="0" applyFont="1" applyBorder="1" applyAlignment="1" applyProtection="1">
      <alignment horizontal="fill" vertical="center"/>
      <protection hidden="1"/>
    </xf>
    <xf numFmtId="0" fontId="30" fillId="0" borderId="1" xfId="0" applyFont="1" applyBorder="1" applyAlignment="1" applyProtection="1">
      <alignment horizontal="fill" vertical="center"/>
      <protection hidden="1"/>
    </xf>
    <xf numFmtId="0" fontId="0" fillId="0" borderId="0" xfId="0" applyAlignment="1" applyProtection="1">
      <alignment vertical="center"/>
      <protection hidden="1"/>
    </xf>
    <xf numFmtId="0" fontId="9" fillId="8" borderId="0" xfId="0" applyFont="1" applyFill="1" applyAlignment="1" applyProtection="1">
      <alignment vertical="center"/>
      <protection hidden="1"/>
    </xf>
    <xf numFmtId="11" fontId="0" fillId="8" borderId="0" xfId="0" applyNumberFormat="1" applyFill="1" applyAlignment="1" applyProtection="1">
      <alignment vertical="center"/>
      <protection hidden="1"/>
    </xf>
    <xf numFmtId="11" fontId="0" fillId="8" borderId="0" xfId="0" applyNumberFormat="1" applyFill="1" applyAlignment="1" applyProtection="1">
      <alignment horizontal="center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0" fontId="8" fillId="8" borderId="0" xfId="0" applyFont="1" applyFill="1" applyAlignment="1" applyProtection="1">
      <alignment vertical="center" shrinkToFit="1"/>
      <protection hidden="1"/>
    </xf>
    <xf numFmtId="0" fontId="0" fillId="8" borderId="0" xfId="0" applyFill="1" applyAlignment="1" applyProtection="1">
      <alignment vertical="center" shrinkToFit="1"/>
      <protection hidden="1"/>
    </xf>
    <xf numFmtId="0" fontId="0" fillId="8" borderId="0" xfId="0" applyFill="1" applyAlignment="1" applyProtection="1">
      <alignment vertical="center"/>
      <protection hidden="1"/>
    </xf>
    <xf numFmtId="0" fontId="0" fillId="8" borderId="0" xfId="0" applyFill="1" applyAlignment="1" applyProtection="1">
      <alignment horizontal="center" vertical="center" shrinkToFit="1"/>
      <protection hidden="1"/>
    </xf>
    <xf numFmtId="0" fontId="8" fillId="0" borderId="1" xfId="0" applyFont="1" applyBorder="1" applyAlignment="1" applyProtection="1">
      <alignment horizontal="center" vertical="center" shrinkToFit="1"/>
      <protection hidden="1"/>
    </xf>
    <xf numFmtId="0" fontId="28" fillId="7" borderId="1" xfId="0" applyFont="1" applyFill="1" applyBorder="1" applyAlignment="1" applyProtection="1">
      <alignment horizontal="fill" vertical="center"/>
      <protection hidden="1"/>
    </xf>
    <xf numFmtId="0" fontId="38" fillId="3" borderId="5" xfId="0" applyFont="1" applyFill="1" applyBorder="1" applyAlignment="1" applyProtection="1">
      <alignment horizontal="center" vertical="center"/>
      <protection hidden="1"/>
    </xf>
    <xf numFmtId="0" fontId="20" fillId="11" borderId="1" xfId="0" applyFont="1" applyFill="1" applyBorder="1" applyAlignment="1" applyProtection="1">
      <alignment horizontal="center" vertical="center"/>
      <protection hidden="1"/>
    </xf>
    <xf numFmtId="0" fontId="20" fillId="8" borderId="1" xfId="0" applyFont="1" applyFill="1" applyBorder="1" applyAlignment="1" applyProtection="1">
      <alignment horizontal="center" vertical="center" shrinkToFit="1"/>
      <protection hidden="1"/>
    </xf>
    <xf numFmtId="0" fontId="20" fillId="8" borderId="0" xfId="0" applyFont="1" applyFill="1" applyAlignment="1" applyProtection="1">
      <alignment horizontal="center" vertical="center"/>
      <protection hidden="1"/>
    </xf>
    <xf numFmtId="0" fontId="20" fillId="8" borderId="1" xfId="0" applyFont="1" applyFill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27" fillId="0" borderId="1" xfId="0" applyFont="1" applyBorder="1" applyAlignment="1" applyProtection="1">
      <alignment horizontal="fill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 shrinkToFit="1"/>
      <protection hidden="1"/>
    </xf>
    <xf numFmtId="0" fontId="1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37" fillId="0" borderId="0" xfId="0" applyFont="1" applyAlignment="1" applyProtection="1">
      <alignment vertical="center"/>
      <protection hidden="1"/>
    </xf>
    <xf numFmtId="0" fontId="1" fillId="0" borderId="0" xfId="0" applyFont="1" applyAlignment="1" applyProtection="1">
      <alignment horizontal="left" vertical="center"/>
      <protection hidden="1"/>
    </xf>
    <xf numFmtId="0" fontId="9" fillId="0" borderId="0" xfId="0" applyFont="1" applyAlignment="1" applyProtection="1">
      <alignment horizontal="left" vertical="center"/>
      <protection hidden="1"/>
    </xf>
    <xf numFmtId="0" fontId="21" fillId="0" borderId="0" xfId="0" applyFont="1" applyAlignment="1" applyProtection="1">
      <alignment vertical="center"/>
      <protection hidden="1"/>
    </xf>
    <xf numFmtId="0" fontId="33" fillId="0" borderId="1" xfId="0" applyFont="1" applyBorder="1" applyAlignment="1" applyProtection="1">
      <alignment horizontal="fill" vertical="center"/>
      <protection hidden="1"/>
    </xf>
    <xf numFmtId="0" fontId="0" fillId="0" borderId="0" xfId="0" applyAlignment="1" applyProtection="1">
      <alignment horizontal="left" vertical="center" shrinkToFit="1"/>
      <protection hidden="1"/>
    </xf>
    <xf numFmtId="0" fontId="6" fillId="0" borderId="0" xfId="0" applyFont="1" applyAlignment="1" applyProtection="1">
      <alignment horizontal="left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left" vertical="center"/>
      <protection hidden="1"/>
    </xf>
    <xf numFmtId="0" fontId="20" fillId="11" borderId="0" xfId="0" applyFont="1" applyFill="1" applyAlignment="1" applyProtection="1">
      <alignment horizontal="center" vertical="center"/>
      <protection hidden="1"/>
    </xf>
    <xf numFmtId="0" fontId="20" fillId="2" borderId="1" xfId="0" applyFont="1" applyFill="1" applyBorder="1" applyAlignment="1" applyProtection="1">
      <alignment horizontal="center" vertical="center"/>
      <protection hidden="1"/>
    </xf>
    <xf numFmtId="0" fontId="20" fillId="10" borderId="1" xfId="0" applyFont="1" applyFill="1" applyBorder="1" applyAlignment="1" applyProtection="1">
      <alignment horizontal="center" vertical="center"/>
      <protection hidden="1"/>
    </xf>
    <xf numFmtId="0" fontId="32" fillId="8" borderId="1" xfId="0" applyFont="1" applyFill="1" applyBorder="1" applyAlignment="1" applyProtection="1">
      <alignment horizontal="center" vertical="center" shrinkToFit="1"/>
      <protection hidden="1"/>
    </xf>
    <xf numFmtId="0" fontId="20" fillId="8" borderId="3" xfId="0" applyFont="1" applyFill="1" applyBorder="1" applyAlignment="1" applyProtection="1">
      <alignment horizontal="center" vertical="center" shrinkToFit="1"/>
      <protection hidden="1"/>
    </xf>
    <xf numFmtId="0" fontId="0" fillId="0" borderId="1" xfId="0" applyBorder="1" applyAlignment="1" applyProtection="1">
      <alignment vertical="center"/>
      <protection hidden="1"/>
    </xf>
    <xf numFmtId="0" fontId="34" fillId="0" borderId="1" xfId="0" applyFont="1" applyBorder="1" applyAlignment="1" applyProtection="1">
      <alignment horizontal="fill" vertical="center"/>
      <protection hidden="1"/>
    </xf>
    <xf numFmtId="0" fontId="35" fillId="0" borderId="1" xfId="0" applyFont="1" applyBorder="1" applyAlignment="1" applyProtection="1">
      <alignment horizontal="fill" vertical="center"/>
      <protection hidden="1"/>
    </xf>
    <xf numFmtId="0" fontId="29" fillId="9" borderId="1" xfId="0" applyFont="1" applyFill="1" applyBorder="1" applyAlignment="1" applyProtection="1">
      <alignment horizontal="fill" vertical="center"/>
      <protection hidden="1"/>
    </xf>
    <xf numFmtId="0" fontId="26" fillId="8" borderId="0" xfId="0" applyFont="1" applyFill="1" applyAlignment="1" applyProtection="1">
      <alignment vertical="center"/>
      <protection hidden="1"/>
    </xf>
    <xf numFmtId="11" fontId="16" fillId="10" borderId="1" xfId="0" applyNumberFormat="1" applyFont="1" applyFill="1" applyBorder="1" applyAlignment="1" applyProtection="1">
      <alignment horizontal="left" vertical="center"/>
      <protection hidden="1"/>
    </xf>
    <xf numFmtId="0" fontId="8" fillId="0" borderId="0" xfId="0" applyFont="1" applyAlignment="1" applyProtection="1">
      <alignment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16" fillId="10" borderId="1" xfId="0" applyFont="1" applyFill="1" applyBorder="1" applyAlignment="1" applyProtection="1">
      <alignment horizontal="left" vertical="center"/>
      <protection hidden="1"/>
    </xf>
    <xf numFmtId="0" fontId="8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vertical="center"/>
      <protection hidden="1"/>
    </xf>
    <xf numFmtId="0" fontId="16" fillId="10" borderId="1" xfId="0" applyFont="1" applyFill="1" applyBorder="1" applyAlignment="1" applyProtection="1">
      <alignment horizontal="center" vertical="center"/>
      <protection hidden="1"/>
    </xf>
    <xf numFmtId="0" fontId="25" fillId="10" borderId="1" xfId="0" applyFont="1" applyFill="1" applyBorder="1" applyAlignment="1" applyProtection="1">
      <alignment horizontal="center" vertical="center" shrinkToFit="1"/>
      <protection hidden="1"/>
    </xf>
    <xf numFmtId="0" fontId="16" fillId="10" borderId="1" xfId="0" applyFont="1" applyFill="1" applyBorder="1" applyAlignment="1" applyProtection="1">
      <alignment horizontal="center" vertical="center" shrinkToFit="1"/>
      <protection hidden="1"/>
    </xf>
    <xf numFmtId="0" fontId="31" fillId="10" borderId="1" xfId="0" applyFont="1" applyFill="1" applyBorder="1" applyAlignment="1" applyProtection="1">
      <alignment horizontal="center" vertical="center" shrinkToFit="1"/>
      <protection hidden="1"/>
    </xf>
    <xf numFmtId="0" fontId="16" fillId="10" borderId="3" xfId="0" applyFont="1" applyFill="1" applyBorder="1" applyAlignment="1" applyProtection="1">
      <alignment horizontal="center" vertical="center" shrinkToFit="1"/>
      <protection hidden="1"/>
    </xf>
    <xf numFmtId="0" fontId="36" fillId="0" borderId="1" xfId="0" applyFont="1" applyBorder="1" applyAlignment="1" applyProtection="1">
      <alignment horizontal="fill" vertical="center"/>
      <protection hidden="1"/>
    </xf>
    <xf numFmtId="0" fontId="0" fillId="10" borderId="0" xfId="0" applyFill="1" applyProtection="1">
      <protection hidden="1"/>
    </xf>
    <xf numFmtId="0" fontId="8" fillId="10" borderId="0" xfId="0" applyFont="1" applyFill="1" applyAlignment="1" applyProtection="1">
      <alignment horizontal="center" vertical="center" shrinkToFit="1"/>
      <protection hidden="1"/>
    </xf>
    <xf numFmtId="0" fontId="8" fillId="10" borderId="0" xfId="0" applyFont="1" applyFill="1" applyAlignment="1" applyProtection="1">
      <alignment horizontal="left" vertical="center" shrinkToFit="1"/>
      <protection hidden="1"/>
    </xf>
    <xf numFmtId="0" fontId="8" fillId="10" borderId="0" xfId="0" applyFont="1" applyFill="1" applyAlignment="1" applyProtection="1">
      <alignment shrinkToFit="1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shrinkToFit="1"/>
      <protection hidden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22" fillId="4" borderId="1" xfId="0" applyFont="1" applyFill="1" applyBorder="1" applyAlignment="1">
      <alignment horizontal="center"/>
    </xf>
    <xf numFmtId="0" fontId="22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hidden="1"/>
    </xf>
    <xf numFmtId="0" fontId="16" fillId="2" borderId="1" xfId="0" applyFont="1" applyFill="1" applyBorder="1" applyAlignment="1" applyProtection="1">
      <alignment horizontal="center" vertical="center" textRotation="255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16" fillId="10" borderId="1" xfId="0" applyFont="1" applyFill="1" applyBorder="1" applyAlignment="1" applyProtection="1">
      <alignment horizontal="left" vertical="center"/>
      <protection hidden="1"/>
    </xf>
    <xf numFmtId="0" fontId="16" fillId="10" borderId="4" xfId="0" applyFont="1" applyFill="1" applyBorder="1" applyAlignment="1" applyProtection="1">
      <alignment horizontal="left" vertical="center"/>
      <protection hidden="1"/>
    </xf>
    <xf numFmtId="0" fontId="16" fillId="10" borderId="2" xfId="0" applyFont="1" applyFill="1" applyBorder="1" applyAlignment="1" applyProtection="1">
      <alignment horizontal="left" vertical="center"/>
      <protection hidden="1"/>
    </xf>
    <xf numFmtId="11" fontId="14" fillId="0" borderId="4" xfId="0" applyNumberFormat="1" applyFont="1" applyBorder="1" applyAlignment="1" applyProtection="1">
      <alignment horizontal="center" vertical="top"/>
      <protection hidden="1"/>
    </xf>
    <xf numFmtId="11" fontId="14" fillId="0" borderId="2" xfId="0" applyNumberFormat="1" applyFont="1" applyBorder="1" applyAlignment="1" applyProtection="1">
      <alignment horizontal="center" vertical="top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left" vertical="center"/>
      <protection hidden="1"/>
    </xf>
    <xf numFmtId="0" fontId="17" fillId="6" borderId="0" xfId="0" applyFont="1" applyFill="1" applyAlignment="1" applyProtection="1">
      <alignment horizontal="center" vertical="center" wrapText="1"/>
      <protection hidden="1"/>
    </xf>
    <xf numFmtId="0" fontId="18" fillId="8" borderId="0" xfId="0" applyFont="1" applyFill="1" applyAlignment="1" applyProtection="1">
      <alignment horizontal="center" vertical="center"/>
      <protection hidden="1"/>
    </xf>
    <xf numFmtId="0" fontId="16" fillId="10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 textRotation="255"/>
    </xf>
    <xf numFmtId="0" fontId="9" fillId="0" borderId="6" xfId="0" applyFont="1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9" fillId="0" borderId="1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D4E8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3E0F7-3176-41F6-913F-53430490D164}">
  <sheetPr codeName="Sheet6">
    <tabColor rgb="FFFFFF00"/>
  </sheetPr>
  <dimension ref="A1:O23"/>
  <sheetViews>
    <sheetView workbookViewId="0">
      <pane ySplit="1" topLeftCell="A2" activePane="bottomLeft" state="frozen"/>
      <selection pane="bottomLeft" activeCell="D24" sqref="D24"/>
    </sheetView>
  </sheetViews>
  <sheetFormatPr defaultRowHeight="19.95" customHeight="1" x14ac:dyDescent="0.25"/>
  <cols>
    <col min="1" max="1" width="3" style="11" bestFit="1" customWidth="1"/>
    <col min="2" max="2" width="37.77734375" style="7" customWidth="1"/>
    <col min="3" max="3" width="10.88671875" style="7" customWidth="1"/>
    <col min="4" max="4" width="8.44140625" style="2" customWidth="1"/>
    <col min="5" max="5" width="17.33203125" style="7" bestFit="1" customWidth="1"/>
    <col min="6" max="9" width="17.5546875" style="7" customWidth="1"/>
    <col min="10" max="12" width="17.5546875" style="12" customWidth="1"/>
    <col min="13" max="15" width="17.5546875" style="7" customWidth="1"/>
    <col min="16" max="16384" width="8.88671875" style="7"/>
  </cols>
  <sheetData>
    <row r="1" spans="1:15" ht="19.95" customHeight="1" x14ac:dyDescent="0.25">
      <c r="A1" s="67" t="s">
        <v>7</v>
      </c>
      <c r="B1" s="42" t="s">
        <v>428</v>
      </c>
      <c r="C1" s="42" t="s">
        <v>0</v>
      </c>
      <c r="D1" s="42" t="s">
        <v>20</v>
      </c>
      <c r="E1" s="42" t="s">
        <v>12</v>
      </c>
      <c r="F1" s="42" t="s">
        <v>33</v>
      </c>
      <c r="G1" s="18" t="s">
        <v>455</v>
      </c>
      <c r="H1" s="18" t="s">
        <v>453</v>
      </c>
      <c r="I1" s="18" t="s">
        <v>451</v>
      </c>
      <c r="J1" s="43" t="s">
        <v>1</v>
      </c>
      <c r="K1" s="43" t="s">
        <v>2</v>
      </c>
      <c r="L1" s="43" t="s">
        <v>19</v>
      </c>
      <c r="M1" s="73" t="s">
        <v>460</v>
      </c>
      <c r="N1" s="44" t="s">
        <v>34</v>
      </c>
      <c r="O1" s="44" t="s">
        <v>35</v>
      </c>
    </row>
    <row r="2" spans="1:15" ht="19.95" customHeight="1" x14ac:dyDescent="0.25">
      <c r="A2" s="9">
        <v>1</v>
      </c>
      <c r="B2" s="10" t="s">
        <v>430</v>
      </c>
      <c r="C2" s="6" t="s">
        <v>482</v>
      </c>
      <c r="D2" s="1" t="s">
        <v>481</v>
      </c>
      <c r="E2" s="6" t="s">
        <v>463</v>
      </c>
      <c r="F2" s="6" t="str">
        <f>LEFT(C2,FIND(".",C2)-1)&amp;".batw.eu.org"</f>
        <v>vp0.batw.eu.org</v>
      </c>
      <c r="G2" s="139" t="str">
        <f t="shared" ref="G2:G19" si="0">UPPER(LEFT(C2,FIND(".",C2)-1))&amp;"_VMess_WS = vmess, "&amp;E2&amp;", 443, username="&amp;B2&amp;", ws=true, tls=true, ws-path=/"&amp;D2&amp;"vws, skip-cert-verify=false, udp-relay=false, vmess-aead=true, ws-headers=Host:"&amp;C2&amp;", sni="&amp;C2</f>
        <v>VP0_VMess_WS = vmess, cf02.aaw.eu.org, 443, username=854eb32d-27aa-4069-b651-4060593e33ac, ws=true, tls=true, ws-path=/saeaavws, skip-cert-verify=false, udp-relay=false, vmess-aead=true, ws-headers=Host:vp0.edu.tw, sni=vp0.edu.tw</v>
      </c>
      <c r="H2" s="125" t="str">
        <f t="shared" ref="H2:H19" si="1">"vless://"&amp;B2&amp;"@"&amp;F2&amp;":4567?encryption=none&amp;security=reality&amp;type=tcp&amp;sni="&amp;C2&amp;"&amp;fp=chrome&amp;pbk=swgXIpGcJF34pYYwjPznkG4jZ6dH8oLaO2ImCbFTMVE&amp;sid=6ba85179e30d4fc2&amp;flow=xtls-rprx-vision#"&amp;UPPER(LEFT(C2,FIND(".",C2)-1))&amp;"_Reality_TLS"</f>
        <v>vless://854eb32d-27aa-4069-b651-4060593e33ac@vp0.batw.eu.org:4567?encryption=none&amp;security=reality&amp;type=tcp&amp;sni=vp0.edu.tw&amp;fp=chrome&amp;pbk=swgXIpGcJF34pYYwjPznkG4jZ6dH8oLaO2ImCbFTMVE&amp;sid=6ba85179e30d4fc2&amp;flow=xtls-rprx-vision#VP0_Reality_TLS</v>
      </c>
      <c r="I2" s="125" t="str">
        <f t="shared" ref="I2:I19" si="2">"vless://"&amp;B2&amp;"@"&amp;F2&amp;":4567?encryption=none&amp;security=reality&amp;type=grpc&amp;sni="&amp;C2&amp;"&amp;fp=chrome&amp;pbk=swgXIpGcJF34pYYwjPznkG4jZ6dH8oLaO2ImCbFTMVE&amp;sid=6ba85179e30d4fc2&amp;path=grpc&amp;serviceName=grpc#"&amp;UPPER(LEFT(C2,FIND(".",C2)-1))&amp;"Reality_gRPC"</f>
        <v>vless://854eb32d-27aa-4069-b651-4060593e33ac@vp0.batw.eu.org:4567?encryption=none&amp;security=reality&amp;type=grpc&amp;sni=vp0.edu.tw&amp;fp=chrome&amp;pbk=swgXIpGcJF34pYYwjPznkG4jZ6dH8oLaO2ImCbFTMVE&amp;sid=6ba85179e30d4fc2&amp;path=grpc&amp;serviceName=grpc#VP0Reality_gRPC</v>
      </c>
      <c r="J2" s="84" t="str">
        <f t="shared" ref="J2:J19" si="3">" vless://"&amp;B2&amp;"@"&amp;IF(E2="",C2,E2)&amp;":443?encryption=none&amp;security=tls&amp;type=ws&amp;host="&amp;C2&amp;"&amp;sni="&amp;C2&amp;"&amp;fp=chrome&amp;path=/"&amp;D2&amp;"ws#"&amp;UPPER(LEFT(C2,FIND(".",C2)-1))&amp;"_VLESS_WS"</f>
        <v xml:space="preserve"> vless://854eb32d-27aa-4069-b651-4060593e33ac@cf02.aaw.eu.org:443?encryption=none&amp;security=tls&amp;type=ws&amp;host=vp0.edu.tw&amp;sni=vp0.edu.tw&amp;fp=chrome&amp;path=/saeaaws#VP0_VLESS_WS</v>
      </c>
      <c r="K2" s="84" t="str">
        <f t="shared" ref="K2:K19" si="4">"vless://"&amp;B2&amp;"@"&amp;IF(E2="",C2,E2)&amp;":443?encryption=none&amp;security=tls&amp;type=grpc&amp;host="&amp;C2&amp;"&amp;path="&amp;D2&amp;"grpc&amp;fp=chrome&amp;serviceName="&amp;D2&amp;"grpc&amp;alpn=h2&amp;sni="&amp;C2&amp;"#"&amp;UPPER(LEFT(C2,FIND(".",C2)-1))&amp;"_VLESS_gRPC"</f>
        <v>vless://854eb32d-27aa-4069-b651-4060593e33ac@cf02.aaw.eu.org:443?encryption=none&amp;security=tls&amp;type=grpc&amp;host=vp0.edu.tw&amp;path=saeaagrpc&amp;fp=chrome&amp;serviceName=saeaagrpc&amp;alpn=h2&amp;sni=vp0.edu.tw#VP0_VLESS_gRPC</v>
      </c>
      <c r="L2" s="84" t="str">
        <f t="shared" ref="L2:L19" si="5">"trojan://"&amp;B2&amp;"@"&amp;IF(E2="",C2,E2)&amp;":443?encryption=none&amp;peer="&amp;C2&amp;"&amp;fp=chrome&amp;security=tls&amp;type=grpc&amp;sni="&amp;C2&amp;"&amp;alpn=h2&amp;path="&amp;D2&amp;"trojangrpc&amp;serviceName="&amp;D2&amp;"trojangrpc#"&amp;UPPER(LEFT(C2,FIND(".",C2)-1))&amp;"_Trojan_gRPC"</f>
        <v>trojan://854eb32d-27aa-4069-b651-4060593e33ac@cf02.aaw.eu.org:443?encryption=none&amp;peer=vp0.edu.tw&amp;fp=chrome&amp;security=tls&amp;type=grpc&amp;sni=vp0.edu.tw&amp;alpn=h2&amp;path=saeaatrojangrpc&amp;serviceName=saeaatrojangrpc#VP0_Trojan_gRPC</v>
      </c>
      <c r="M2" s="84" t="str" cm="1">
        <f t="array" ref="M2">IF(B2&lt;&gt;"","vmess://"&amp;EncodeBase64("  {""port"":443,""ps"""&amp;":"""&amp;UPPER(LEFT(C2,FIND(".",C2)-1))&amp;"_VMess_WS"",""tls"":""tls"",""id"":"""&amp;B2&amp;""",""aid"":0,""v"":2,""host"":"""&amp;C2&amp;""",""type"":""none"",""path"":""/"&amp;D2&amp;"vws"&amp;""",""net"":""ws"",""add"":"""&amp;F2&amp;""""&amp;","&amp;"""allowInsecure"":0,""method"":""none"",""peer"":"""&amp;C2&amp;""",""sni"":"""&amp;C2&amp;"""}"),"")</f>
        <v>vmess://ICB7InBvcnQiOjQ0MywicHMiOiJWUDBfVk1lc3NfV1MiLCJ0bHMiOiJ0bHMiLCJpZCI6Ijg1NGViMzJkLTI3YWEtNDA2OS1iNjUxLTQwNjA1OTNlMzNhYyIsImFpZCI6MCwidiI6MiwiaG9zdCI6InZwMC5lZHUudHciLCJ0eXBlIjoibm9uZSIsInBhdGgiOiIvc2FlYWF2d3MiLCJuZXQiOiJ3cyIsImFkZCI6InZwMC5iYXR3LmV1Lm9yZyIsImFsbG93SW5zZWN1cmUiOjAsIm1ldGhvZCI6Im5vbmUiLCJwZWVyIjoidnAwLmVkdS50dyIsInNuaSI6InZwMC5lZHUudHcifQ==</v>
      </c>
      <c r="N2" s="84" t="str">
        <f t="shared" ref="N2:N19" si="6">"trojan://"&amp;B2&amp;"@"&amp;F2&amp;":443?peer="&amp;C2&amp;"&amp;fp=chrome&amp;sni="&amp;C2&amp;"&amp;alpn=http/1.1#"&amp;UPPER(LEFT(C2,FIND(".",C2)-1))&amp;"_Trojan"</f>
        <v>trojan://854eb32d-27aa-4069-b651-4060593e33ac@vp0.batw.eu.org:443?peer=vp0.edu.tw&amp;fp=chrome&amp;sni=vp0.edu.tw&amp;alpn=http/1.1#VP0_Trojan</v>
      </c>
      <c r="O2" s="84" t="str">
        <f t="shared" ref="O2:O19" si="7">IF(B2&lt;&gt;""," vless://"&amp;B2&amp;"@"&amp;IF(F2="",C2,F2)&amp;":443?encryption=none&amp;security=tls&amp;fp=chrome&amp;type=tcp&amp;host="&amp;C2&amp;"&amp;headerType=none&amp;sni="&amp;C2&amp;"&amp;flow=xtls-rprx-vision#"&amp;UPPER(LEFT(C2,FIND(".",C2)-1))&amp;"_VLESS_TLS","")</f>
        <v xml:space="preserve"> vless://854eb32d-27aa-4069-b651-4060593e33ac@vp0.batw.eu.org:443?encryption=none&amp;security=tls&amp;fp=chrome&amp;type=tcp&amp;host=vp0.edu.tw&amp;headerType=none&amp;sni=vp0.edu.tw&amp;flow=xtls-rprx-vision#VP0_VLESS_TLS</v>
      </c>
    </row>
    <row r="3" spans="1:15" ht="19.95" customHeight="1" x14ac:dyDescent="0.25">
      <c r="A3" s="9">
        <v>2</v>
      </c>
      <c r="B3" s="10" t="s">
        <v>431</v>
      </c>
      <c r="C3" s="6" t="s">
        <v>483</v>
      </c>
      <c r="D3" s="1" t="s">
        <v>481</v>
      </c>
      <c r="E3" s="6" t="s">
        <v>464</v>
      </c>
      <c r="F3" s="6" t="str">
        <f t="shared" ref="F3:F19" si="8">LEFT(C3,FIND(".",C3)-1)&amp;".batw.eu.org"</f>
        <v>vp1.batw.eu.org</v>
      </c>
      <c r="G3" s="139" t="str">
        <f t="shared" si="0"/>
        <v>VP1_VMess_WS = vmess, cf03.aaw.eu.org, 443, username=adc4c53a-38ff-4e1d-ae97-78afb4a81224, ws=true, tls=true, ws-path=/saeaavws, skip-cert-verify=false, udp-relay=false, vmess-aead=true, ws-headers=Host:vp1.edu.tw, sni=vp1.edu.tw</v>
      </c>
      <c r="H3" s="125" t="str">
        <f t="shared" si="1"/>
        <v>vless://adc4c53a-38ff-4e1d-ae97-78afb4a81224@vp1.batw.eu.org:4567?encryption=none&amp;security=reality&amp;type=tcp&amp;sni=vp1.edu.tw&amp;fp=chrome&amp;pbk=swgXIpGcJF34pYYwjPznkG4jZ6dH8oLaO2ImCbFTMVE&amp;sid=6ba85179e30d4fc2&amp;flow=xtls-rprx-vision#VP1_Reality_TLS</v>
      </c>
      <c r="I3" s="125" t="str">
        <f t="shared" si="2"/>
        <v>vless://adc4c53a-38ff-4e1d-ae97-78afb4a81224@vp1.batw.eu.org:4567?encryption=none&amp;security=reality&amp;type=grpc&amp;sni=vp1.edu.tw&amp;fp=chrome&amp;pbk=swgXIpGcJF34pYYwjPznkG4jZ6dH8oLaO2ImCbFTMVE&amp;sid=6ba85179e30d4fc2&amp;path=grpc&amp;serviceName=grpc#VP1Reality_gRPC</v>
      </c>
      <c r="J3" s="84" t="str">
        <f t="shared" si="3"/>
        <v xml:space="preserve"> vless://adc4c53a-38ff-4e1d-ae97-78afb4a81224@cf03.aaw.eu.org:443?encryption=none&amp;security=tls&amp;type=ws&amp;host=vp1.edu.tw&amp;sni=vp1.edu.tw&amp;fp=chrome&amp;path=/saeaaws#VP1_VLESS_WS</v>
      </c>
      <c r="K3" s="84" t="str">
        <f t="shared" si="4"/>
        <v>vless://adc4c53a-38ff-4e1d-ae97-78afb4a81224@cf03.aaw.eu.org:443?encryption=none&amp;security=tls&amp;type=grpc&amp;host=vp1.edu.tw&amp;path=saeaagrpc&amp;fp=chrome&amp;serviceName=saeaagrpc&amp;alpn=h2&amp;sni=vp1.edu.tw#VP1_VLESS_gRPC</v>
      </c>
      <c r="L3" s="84" t="str">
        <f t="shared" si="5"/>
        <v>trojan://adc4c53a-38ff-4e1d-ae97-78afb4a81224@cf03.aaw.eu.org:443?encryption=none&amp;peer=vp1.edu.tw&amp;fp=chrome&amp;security=tls&amp;type=grpc&amp;sni=vp1.edu.tw&amp;alpn=h2&amp;path=saeaatrojangrpc&amp;serviceName=saeaatrojangrpc#VP1_Trojan_gRPC</v>
      </c>
      <c r="M3" s="84" t="str" cm="1">
        <f t="array" ref="M3">IF(B3&lt;&gt;"","vmess://"&amp;EncodeBase64("  {""port"":443,""ps"""&amp;":"""&amp;UPPER(LEFT(C3,FIND(".",C3)-1))&amp;"_VMess_WS"",""tls"":""tls"",""id"":"""&amp;B3&amp;""",""aid"":0,""v"":2,""host"":"""&amp;C3&amp;""",""type"":""none"",""path"":""/"&amp;D3&amp;"vws"&amp;""",""net"":""ws"",""add"":"""&amp;F3&amp;""""&amp;","&amp;"""allowInsecure"":0,""method"":""none"",""peer"":"""&amp;C3&amp;""",""sni"":"""&amp;C3&amp;"""}"),"")</f>
        <v>vmess://ICB7InBvcnQiOjQ0MywicHMiOiJWUDFfVk1lc3NfV1MiLCJ0bHMiOiJ0bHMiLCJpZCI6ImFkYzRjNTNhLTM4ZmYtNGUxZC1hZTk3LTc4YWZiNGE4MTIyNCIsImFpZCI6MCwidiI6MiwiaG9zdCI6InZwMS5lZHUudHciLCJ0eXBlIjoibm9uZSIsInBhdGgiOiIvc2FlYWF2d3MiLCJuZXQiOiJ3cyIsImFkZCI6InZwMS5iYXR3LmV1Lm9yZyIsImFsbG93SW5zZWN1cmUiOjAsIm1ldGhvZCI6Im5vbmUiLCJwZWVyIjoidnAxLmVkdS50dyIsInNuaSI6InZwMS5lZHUudHcifQ==</v>
      </c>
      <c r="N3" s="84" t="str">
        <f t="shared" si="6"/>
        <v>trojan://adc4c53a-38ff-4e1d-ae97-78afb4a81224@vp1.batw.eu.org:443?peer=vp1.edu.tw&amp;fp=chrome&amp;sni=vp1.edu.tw&amp;alpn=http/1.1#VP1_Trojan</v>
      </c>
      <c r="O3" s="84" t="str">
        <f t="shared" si="7"/>
        <v xml:space="preserve"> vless://adc4c53a-38ff-4e1d-ae97-78afb4a81224@vp1.batw.eu.org:443?encryption=none&amp;security=tls&amp;fp=chrome&amp;type=tcp&amp;host=vp1.edu.tw&amp;headerType=none&amp;sni=vp1.edu.tw&amp;flow=xtls-rprx-vision#VP1_VLESS_TLS</v>
      </c>
    </row>
    <row r="4" spans="1:15" ht="19.95" customHeight="1" x14ac:dyDescent="0.25">
      <c r="A4" s="9">
        <v>3</v>
      </c>
      <c r="B4" s="10" t="s">
        <v>432</v>
      </c>
      <c r="C4" s="6" t="s">
        <v>484</v>
      </c>
      <c r="D4" s="1" t="s">
        <v>481</v>
      </c>
      <c r="E4" s="6" t="s">
        <v>465</v>
      </c>
      <c r="F4" s="6" t="str">
        <f t="shared" si="8"/>
        <v>vp2.batw.eu.org</v>
      </c>
      <c r="G4" s="139" t="str">
        <f t="shared" si="0"/>
        <v>VP2_VMess_WS = vmess, cf04.aaw.eu.org, 443, username=ee82687c-a075-4522-9562-3af87e3fe658, ws=true, tls=true, ws-path=/saeaavws, skip-cert-verify=false, udp-relay=false, vmess-aead=true, ws-headers=Host:vp2.edu.tw, sni=vp2.edu.tw</v>
      </c>
      <c r="H4" s="125" t="str">
        <f t="shared" si="1"/>
        <v>vless://ee82687c-a075-4522-9562-3af87e3fe658@vp2.batw.eu.org:4567?encryption=none&amp;security=reality&amp;type=tcp&amp;sni=vp2.edu.tw&amp;fp=chrome&amp;pbk=swgXIpGcJF34pYYwjPznkG4jZ6dH8oLaO2ImCbFTMVE&amp;sid=6ba85179e30d4fc2&amp;flow=xtls-rprx-vision#VP2_Reality_TLS</v>
      </c>
      <c r="I4" s="125" t="str">
        <f t="shared" si="2"/>
        <v>vless://ee82687c-a075-4522-9562-3af87e3fe658@vp2.batw.eu.org:4567?encryption=none&amp;security=reality&amp;type=grpc&amp;sni=vp2.edu.tw&amp;fp=chrome&amp;pbk=swgXIpGcJF34pYYwjPznkG4jZ6dH8oLaO2ImCbFTMVE&amp;sid=6ba85179e30d4fc2&amp;path=grpc&amp;serviceName=grpc#VP2Reality_gRPC</v>
      </c>
      <c r="J4" s="84" t="str">
        <f t="shared" si="3"/>
        <v xml:space="preserve"> vless://ee82687c-a075-4522-9562-3af87e3fe658@cf04.aaw.eu.org:443?encryption=none&amp;security=tls&amp;type=ws&amp;host=vp2.edu.tw&amp;sni=vp2.edu.tw&amp;fp=chrome&amp;path=/saeaaws#VP2_VLESS_WS</v>
      </c>
      <c r="K4" s="84" t="str">
        <f t="shared" si="4"/>
        <v>vless://ee82687c-a075-4522-9562-3af87e3fe658@cf04.aaw.eu.org:443?encryption=none&amp;security=tls&amp;type=grpc&amp;host=vp2.edu.tw&amp;path=saeaagrpc&amp;fp=chrome&amp;serviceName=saeaagrpc&amp;alpn=h2&amp;sni=vp2.edu.tw#VP2_VLESS_gRPC</v>
      </c>
      <c r="L4" s="84" t="str">
        <f t="shared" si="5"/>
        <v>trojan://ee82687c-a075-4522-9562-3af87e3fe658@cf04.aaw.eu.org:443?encryption=none&amp;peer=vp2.edu.tw&amp;fp=chrome&amp;security=tls&amp;type=grpc&amp;sni=vp2.edu.tw&amp;alpn=h2&amp;path=saeaatrojangrpc&amp;serviceName=saeaatrojangrpc#VP2_Trojan_gRPC</v>
      </c>
      <c r="M4" s="84" t="str" cm="1">
        <f t="array" ref="M4">IF(B4&lt;&gt;"","vmess://"&amp;EncodeBase64("  {""port"":443,""ps"""&amp;":"""&amp;UPPER(LEFT(C4,FIND(".",C4)-1))&amp;"_VMess_WS"",""tls"":""tls"",""id"":"""&amp;B4&amp;""",""aid"":0,""v"":2,""host"":"""&amp;C4&amp;""",""type"":""none"",""path"":""/"&amp;D4&amp;"vws"&amp;""",""net"":""ws"",""add"":"""&amp;F4&amp;""""&amp;","&amp;"""allowInsecure"":0,""method"":""none"",""peer"":"""&amp;C4&amp;""",""sni"":"""&amp;C4&amp;"""}"),"")</f>
        <v>vmess://ICB7InBvcnQiOjQ0MywicHMiOiJWUDJfVk1lc3NfV1MiLCJ0bHMiOiJ0bHMiLCJpZCI6ImVlODI2ODdjLWEwNzUtNDUyMi05NTYyLTNhZjg3ZTNmZTY1OCIsImFpZCI6MCwidiI6MiwiaG9zdCI6InZwMi5lZHUudHciLCJ0eXBlIjoibm9uZSIsInBhdGgiOiIvc2FlYWF2d3MiLCJuZXQiOiJ3cyIsImFkZCI6InZwMi5iYXR3LmV1Lm9yZyIsImFsbG93SW5zZWN1cmUiOjAsIm1ldGhvZCI6Im5vbmUiLCJwZWVyIjoidnAyLmVkdS50dyIsInNuaSI6InZwMi5lZHUudHcifQ==</v>
      </c>
      <c r="N4" s="84" t="str">
        <f t="shared" si="6"/>
        <v>trojan://ee82687c-a075-4522-9562-3af87e3fe658@vp2.batw.eu.org:443?peer=vp2.edu.tw&amp;fp=chrome&amp;sni=vp2.edu.tw&amp;alpn=http/1.1#VP2_Trojan</v>
      </c>
      <c r="O4" s="84" t="str">
        <f t="shared" si="7"/>
        <v xml:space="preserve"> vless://ee82687c-a075-4522-9562-3af87e3fe658@vp2.batw.eu.org:443?encryption=none&amp;security=tls&amp;fp=chrome&amp;type=tcp&amp;host=vp2.edu.tw&amp;headerType=none&amp;sni=vp2.edu.tw&amp;flow=xtls-rprx-vision#VP2_VLESS_TLS</v>
      </c>
    </row>
    <row r="5" spans="1:15" ht="19.95" customHeight="1" x14ac:dyDescent="0.25">
      <c r="A5" s="9">
        <v>4</v>
      </c>
      <c r="B5" s="10" t="s">
        <v>433</v>
      </c>
      <c r="C5" s="6" t="s">
        <v>485</v>
      </c>
      <c r="D5" s="1" t="s">
        <v>481</v>
      </c>
      <c r="E5" s="6" t="s">
        <v>466</v>
      </c>
      <c r="F5" s="6" t="str">
        <f t="shared" si="8"/>
        <v>vp3.batw.eu.org</v>
      </c>
      <c r="G5" s="139" t="str">
        <f t="shared" si="0"/>
        <v>VP3_VMess_WS = vmess, cf05.aaw.eu.org, 443, username=daf2c4f5-191c-4c06-bf1c-4baaf7cc1c76, ws=true, tls=true, ws-path=/saeaavws, skip-cert-verify=false, udp-relay=false, vmess-aead=true, ws-headers=Host:vp3.edu.tw, sni=vp3.edu.tw</v>
      </c>
      <c r="H5" s="125" t="str">
        <f t="shared" si="1"/>
        <v>vless://daf2c4f5-191c-4c06-bf1c-4baaf7cc1c76@vp3.batw.eu.org:4567?encryption=none&amp;security=reality&amp;type=tcp&amp;sni=vp3.edu.tw&amp;fp=chrome&amp;pbk=swgXIpGcJF34pYYwjPznkG4jZ6dH8oLaO2ImCbFTMVE&amp;sid=6ba85179e30d4fc2&amp;flow=xtls-rprx-vision#VP3_Reality_TLS</v>
      </c>
      <c r="I5" s="125" t="str">
        <f t="shared" si="2"/>
        <v>vless://daf2c4f5-191c-4c06-bf1c-4baaf7cc1c76@vp3.batw.eu.org:4567?encryption=none&amp;security=reality&amp;type=grpc&amp;sni=vp3.edu.tw&amp;fp=chrome&amp;pbk=swgXIpGcJF34pYYwjPznkG4jZ6dH8oLaO2ImCbFTMVE&amp;sid=6ba85179e30d4fc2&amp;path=grpc&amp;serviceName=grpc#VP3Reality_gRPC</v>
      </c>
      <c r="J5" s="84" t="str">
        <f t="shared" si="3"/>
        <v xml:space="preserve"> vless://daf2c4f5-191c-4c06-bf1c-4baaf7cc1c76@cf05.aaw.eu.org:443?encryption=none&amp;security=tls&amp;type=ws&amp;host=vp3.edu.tw&amp;sni=vp3.edu.tw&amp;fp=chrome&amp;path=/saeaaws#VP3_VLESS_WS</v>
      </c>
      <c r="K5" s="84" t="str">
        <f t="shared" si="4"/>
        <v>vless://daf2c4f5-191c-4c06-bf1c-4baaf7cc1c76@cf05.aaw.eu.org:443?encryption=none&amp;security=tls&amp;type=grpc&amp;host=vp3.edu.tw&amp;path=saeaagrpc&amp;fp=chrome&amp;serviceName=saeaagrpc&amp;alpn=h2&amp;sni=vp3.edu.tw#VP3_VLESS_gRPC</v>
      </c>
      <c r="L5" s="84" t="str">
        <f t="shared" si="5"/>
        <v>trojan://daf2c4f5-191c-4c06-bf1c-4baaf7cc1c76@cf05.aaw.eu.org:443?encryption=none&amp;peer=vp3.edu.tw&amp;fp=chrome&amp;security=tls&amp;type=grpc&amp;sni=vp3.edu.tw&amp;alpn=h2&amp;path=saeaatrojangrpc&amp;serviceName=saeaatrojangrpc#VP3_Trojan_gRPC</v>
      </c>
      <c r="M5" s="84" t="str" cm="1">
        <f t="array" ref="M5">IF(B5&lt;&gt;"","vmess://"&amp;EncodeBase64("  {""port"":443,""ps"""&amp;":"""&amp;UPPER(LEFT(C5,FIND(".",C5)-1))&amp;"_VMess_WS"",""tls"":""tls"",""id"":"""&amp;B5&amp;""",""aid"":0,""v"":2,""host"":"""&amp;C5&amp;""",""type"":""none"",""path"":""/"&amp;D5&amp;"vws"&amp;""",""net"":""ws"",""add"":"""&amp;F5&amp;""""&amp;","&amp;"""allowInsecure"":0,""method"":""none"",""peer"":"""&amp;C5&amp;""",""sni"":"""&amp;C5&amp;"""}"),"")</f>
        <v>vmess://ICB7InBvcnQiOjQ0MywicHMiOiJWUDNfVk1lc3NfV1MiLCJ0bHMiOiJ0bHMiLCJpZCI6ImRhZjJjNGY1LTE5MWMtNGMwNi1iZjFjLTRiYWFmN2NjMWM3NiIsImFpZCI6MCwidiI6MiwiaG9zdCI6InZwMy5lZHUudHciLCJ0eXBlIjoibm9uZSIsInBhdGgiOiIvc2FlYWF2d3MiLCJuZXQiOiJ3cyIsImFkZCI6InZwMy5iYXR3LmV1Lm9yZyIsImFsbG93SW5zZWN1cmUiOjAsIm1ldGhvZCI6Im5vbmUiLCJwZWVyIjoidnAzLmVkdS50dyIsInNuaSI6InZwMy5lZHUudHcifQ==</v>
      </c>
      <c r="N5" s="84" t="str">
        <f t="shared" si="6"/>
        <v>trojan://daf2c4f5-191c-4c06-bf1c-4baaf7cc1c76@vp3.batw.eu.org:443?peer=vp3.edu.tw&amp;fp=chrome&amp;sni=vp3.edu.tw&amp;alpn=http/1.1#VP3_Trojan</v>
      </c>
      <c r="O5" s="84" t="str">
        <f t="shared" si="7"/>
        <v xml:space="preserve"> vless://daf2c4f5-191c-4c06-bf1c-4baaf7cc1c76@vp3.batw.eu.org:443?encryption=none&amp;security=tls&amp;fp=chrome&amp;type=tcp&amp;host=vp3.edu.tw&amp;headerType=none&amp;sni=vp3.edu.tw&amp;flow=xtls-rprx-vision#VP3_VLESS_TLS</v>
      </c>
    </row>
    <row r="6" spans="1:15" ht="19.95" customHeight="1" x14ac:dyDescent="0.25">
      <c r="A6" s="9">
        <v>5</v>
      </c>
      <c r="B6" s="10" t="s">
        <v>434</v>
      </c>
      <c r="C6" s="6" t="s">
        <v>486</v>
      </c>
      <c r="D6" s="1" t="s">
        <v>481</v>
      </c>
      <c r="E6" s="6" t="s">
        <v>467</v>
      </c>
      <c r="F6" s="6" t="str">
        <f t="shared" si="8"/>
        <v>vp4.batw.eu.org</v>
      </c>
      <c r="G6" s="139" t="str">
        <f t="shared" si="0"/>
        <v>VP4_VMess_WS = vmess, cf06.aaw.eu.org, 443, username=76c01fe4-8bec-4207-9d0e-057ee7988bee, ws=true, tls=true, ws-path=/saeaavws, skip-cert-verify=false, udp-relay=false, vmess-aead=true, ws-headers=Host:vp4.edu.tw, sni=vp4.edu.tw</v>
      </c>
      <c r="H6" s="125" t="str">
        <f t="shared" si="1"/>
        <v>vless://76c01fe4-8bec-4207-9d0e-057ee7988bee@vp4.batw.eu.org:4567?encryption=none&amp;security=reality&amp;type=tcp&amp;sni=vp4.edu.tw&amp;fp=chrome&amp;pbk=swgXIpGcJF34pYYwjPznkG4jZ6dH8oLaO2ImCbFTMVE&amp;sid=6ba85179e30d4fc2&amp;flow=xtls-rprx-vision#VP4_Reality_TLS</v>
      </c>
      <c r="I6" s="125" t="str">
        <f t="shared" si="2"/>
        <v>vless://76c01fe4-8bec-4207-9d0e-057ee7988bee@vp4.batw.eu.org:4567?encryption=none&amp;security=reality&amp;type=grpc&amp;sni=vp4.edu.tw&amp;fp=chrome&amp;pbk=swgXIpGcJF34pYYwjPznkG4jZ6dH8oLaO2ImCbFTMVE&amp;sid=6ba85179e30d4fc2&amp;path=grpc&amp;serviceName=grpc#VP4Reality_gRPC</v>
      </c>
      <c r="J6" s="84" t="str">
        <f t="shared" si="3"/>
        <v xml:space="preserve"> vless://76c01fe4-8bec-4207-9d0e-057ee7988bee@cf06.aaw.eu.org:443?encryption=none&amp;security=tls&amp;type=ws&amp;host=vp4.edu.tw&amp;sni=vp4.edu.tw&amp;fp=chrome&amp;path=/saeaaws#VP4_VLESS_WS</v>
      </c>
      <c r="K6" s="84" t="str">
        <f t="shared" si="4"/>
        <v>vless://76c01fe4-8bec-4207-9d0e-057ee7988bee@cf06.aaw.eu.org:443?encryption=none&amp;security=tls&amp;type=grpc&amp;host=vp4.edu.tw&amp;path=saeaagrpc&amp;fp=chrome&amp;serviceName=saeaagrpc&amp;alpn=h2&amp;sni=vp4.edu.tw#VP4_VLESS_gRPC</v>
      </c>
      <c r="L6" s="84" t="str">
        <f t="shared" si="5"/>
        <v>trojan://76c01fe4-8bec-4207-9d0e-057ee7988bee@cf06.aaw.eu.org:443?encryption=none&amp;peer=vp4.edu.tw&amp;fp=chrome&amp;security=tls&amp;type=grpc&amp;sni=vp4.edu.tw&amp;alpn=h2&amp;path=saeaatrojangrpc&amp;serviceName=saeaatrojangrpc#VP4_Trojan_gRPC</v>
      </c>
      <c r="M6" s="84" t="str" cm="1">
        <f t="array" ref="M6">IF(B6&lt;&gt;"","vmess://"&amp;EncodeBase64("  {""port"":443,""ps"""&amp;":"""&amp;UPPER(LEFT(C6,FIND(".",C6)-1))&amp;"_VMess_WS"",""tls"":""tls"",""id"":"""&amp;B6&amp;""",""aid"":0,""v"":2,""host"":"""&amp;C6&amp;""",""type"":""none"",""path"":""/"&amp;D6&amp;"vws"&amp;""",""net"":""ws"",""add"":"""&amp;F6&amp;""""&amp;","&amp;"""allowInsecure"":0,""method"":""none"",""peer"":"""&amp;C6&amp;""",""sni"":"""&amp;C6&amp;"""}"),"")</f>
        <v>vmess://ICB7InBvcnQiOjQ0MywicHMiOiJWUDRfVk1lc3NfV1MiLCJ0bHMiOiJ0bHMiLCJpZCI6Ijc2YzAxZmU0LThiZWMtNDIwNy05ZDBlLTA1N2VlNzk4OGJlZSIsImFpZCI6MCwidiI6MiwiaG9zdCI6InZwNC5lZHUudHciLCJ0eXBlIjoibm9uZSIsInBhdGgiOiIvc2FlYWF2d3MiLCJuZXQiOiJ3cyIsImFkZCI6InZwNC5iYXR3LmV1Lm9yZyIsImFsbG93SW5zZWN1cmUiOjAsIm1ldGhvZCI6Im5vbmUiLCJwZWVyIjoidnA0LmVkdS50dyIsInNuaSI6InZwNC5lZHUudHcifQ==</v>
      </c>
      <c r="N6" s="84" t="str">
        <f t="shared" si="6"/>
        <v>trojan://76c01fe4-8bec-4207-9d0e-057ee7988bee@vp4.batw.eu.org:443?peer=vp4.edu.tw&amp;fp=chrome&amp;sni=vp4.edu.tw&amp;alpn=http/1.1#VP4_Trojan</v>
      </c>
      <c r="O6" s="84" t="str">
        <f t="shared" si="7"/>
        <v xml:space="preserve"> vless://76c01fe4-8bec-4207-9d0e-057ee7988bee@vp4.batw.eu.org:443?encryption=none&amp;security=tls&amp;fp=chrome&amp;type=tcp&amp;host=vp4.edu.tw&amp;headerType=none&amp;sni=vp4.edu.tw&amp;flow=xtls-rprx-vision#VP4_VLESS_TLS</v>
      </c>
    </row>
    <row r="7" spans="1:15" ht="19.95" customHeight="1" x14ac:dyDescent="0.25">
      <c r="A7" s="9">
        <v>6</v>
      </c>
      <c r="B7" s="10" t="s">
        <v>435</v>
      </c>
      <c r="C7" s="6" t="s">
        <v>487</v>
      </c>
      <c r="D7" s="1" t="s">
        <v>481</v>
      </c>
      <c r="E7" s="6" t="s">
        <v>468</v>
      </c>
      <c r="F7" s="6" t="str">
        <f t="shared" si="8"/>
        <v>vp5.batw.eu.org</v>
      </c>
      <c r="G7" s="139" t="str">
        <f t="shared" si="0"/>
        <v>VP5_VMess_WS = vmess, cf07.aaw.eu.org, 443, username=f36a932d-97ad-439f-ac39-7ee19e5f0cd8, ws=true, tls=true, ws-path=/saeaavws, skip-cert-verify=false, udp-relay=false, vmess-aead=true, ws-headers=Host:vp5.edu.tw, sni=vp5.edu.tw</v>
      </c>
      <c r="H7" s="125" t="str">
        <f t="shared" si="1"/>
        <v>vless://f36a932d-97ad-439f-ac39-7ee19e5f0cd8@vp5.batw.eu.org:4567?encryption=none&amp;security=reality&amp;type=tcp&amp;sni=vp5.edu.tw&amp;fp=chrome&amp;pbk=swgXIpGcJF34pYYwjPznkG4jZ6dH8oLaO2ImCbFTMVE&amp;sid=6ba85179e30d4fc2&amp;flow=xtls-rprx-vision#VP5_Reality_TLS</v>
      </c>
      <c r="I7" s="125" t="str">
        <f t="shared" si="2"/>
        <v>vless://f36a932d-97ad-439f-ac39-7ee19e5f0cd8@vp5.batw.eu.org:4567?encryption=none&amp;security=reality&amp;type=grpc&amp;sni=vp5.edu.tw&amp;fp=chrome&amp;pbk=swgXIpGcJF34pYYwjPznkG4jZ6dH8oLaO2ImCbFTMVE&amp;sid=6ba85179e30d4fc2&amp;path=grpc&amp;serviceName=grpc#VP5Reality_gRPC</v>
      </c>
      <c r="J7" s="84" t="str">
        <f t="shared" si="3"/>
        <v xml:space="preserve"> vless://f36a932d-97ad-439f-ac39-7ee19e5f0cd8@cf07.aaw.eu.org:443?encryption=none&amp;security=tls&amp;type=ws&amp;host=vp5.edu.tw&amp;sni=vp5.edu.tw&amp;fp=chrome&amp;path=/saeaaws#VP5_VLESS_WS</v>
      </c>
      <c r="K7" s="84" t="str">
        <f t="shared" si="4"/>
        <v>vless://f36a932d-97ad-439f-ac39-7ee19e5f0cd8@cf07.aaw.eu.org:443?encryption=none&amp;security=tls&amp;type=grpc&amp;host=vp5.edu.tw&amp;path=saeaagrpc&amp;fp=chrome&amp;serviceName=saeaagrpc&amp;alpn=h2&amp;sni=vp5.edu.tw#VP5_VLESS_gRPC</v>
      </c>
      <c r="L7" s="84" t="str">
        <f t="shared" si="5"/>
        <v>trojan://f36a932d-97ad-439f-ac39-7ee19e5f0cd8@cf07.aaw.eu.org:443?encryption=none&amp;peer=vp5.edu.tw&amp;fp=chrome&amp;security=tls&amp;type=grpc&amp;sni=vp5.edu.tw&amp;alpn=h2&amp;path=saeaatrojangrpc&amp;serviceName=saeaatrojangrpc#VP5_Trojan_gRPC</v>
      </c>
      <c r="M7" s="84" t="str" cm="1">
        <f t="array" ref="M7">IF(B7&lt;&gt;"","vmess://"&amp;EncodeBase64("  {""port"":443,""ps"""&amp;":"""&amp;UPPER(LEFT(C7,FIND(".",C7)-1))&amp;"_VMess_WS"",""tls"":""tls"",""id"":"""&amp;B7&amp;""",""aid"":0,""v"":2,""host"":"""&amp;C7&amp;""",""type"":""none"",""path"":""/"&amp;D7&amp;"vws"&amp;""",""net"":""ws"",""add"":"""&amp;F7&amp;""""&amp;","&amp;"""allowInsecure"":0,""method"":""none"",""peer"":"""&amp;C7&amp;""",""sni"":"""&amp;C7&amp;"""}"),"")</f>
        <v>vmess://ICB7InBvcnQiOjQ0MywicHMiOiJWUDVfVk1lc3NfV1MiLCJ0bHMiOiJ0bHMiLCJpZCI6ImYzNmE5MzJkLTk3YWQtNDM5Zi1hYzM5LTdlZTE5ZTVmMGNkOCIsImFpZCI6MCwidiI6MiwiaG9zdCI6InZwNS5lZHUudHciLCJ0eXBlIjoibm9uZSIsInBhdGgiOiIvc2FlYWF2d3MiLCJuZXQiOiJ3cyIsImFkZCI6InZwNS5iYXR3LmV1Lm9yZyIsImFsbG93SW5zZWN1cmUiOjAsIm1ldGhvZCI6Im5vbmUiLCJwZWVyIjoidnA1LmVkdS50dyIsInNuaSI6InZwNS5lZHUudHcifQ==</v>
      </c>
      <c r="N7" s="84" t="str">
        <f t="shared" si="6"/>
        <v>trojan://f36a932d-97ad-439f-ac39-7ee19e5f0cd8@vp5.batw.eu.org:443?peer=vp5.edu.tw&amp;fp=chrome&amp;sni=vp5.edu.tw&amp;alpn=http/1.1#VP5_Trojan</v>
      </c>
      <c r="O7" s="84" t="str">
        <f t="shared" si="7"/>
        <v xml:space="preserve"> vless://f36a932d-97ad-439f-ac39-7ee19e5f0cd8@vp5.batw.eu.org:443?encryption=none&amp;security=tls&amp;fp=chrome&amp;type=tcp&amp;host=vp5.edu.tw&amp;headerType=none&amp;sni=vp5.edu.tw&amp;flow=xtls-rprx-vision#VP5_VLESS_TLS</v>
      </c>
    </row>
    <row r="8" spans="1:15" ht="19.95" customHeight="1" x14ac:dyDescent="0.25">
      <c r="A8" s="9">
        <v>7</v>
      </c>
      <c r="B8" s="10" t="s">
        <v>436</v>
      </c>
      <c r="C8" s="6" t="s">
        <v>488</v>
      </c>
      <c r="D8" s="1" t="s">
        <v>481</v>
      </c>
      <c r="E8" s="6" t="s">
        <v>469</v>
      </c>
      <c r="F8" s="6" t="str">
        <f t="shared" si="8"/>
        <v>vp6.batw.eu.org</v>
      </c>
      <c r="G8" s="139" t="str">
        <f t="shared" si="0"/>
        <v>VP6_VMess_WS = vmess, cf08.aaw.eu.org, 443, username=b4210d85-47f3-4ca1-b66a-b829596f11d4, ws=true, tls=true, ws-path=/saeaavws, skip-cert-verify=false, udp-relay=false, vmess-aead=true, ws-headers=Host:vp6.edu.tw, sni=vp6.edu.tw</v>
      </c>
      <c r="H8" s="125" t="str">
        <f t="shared" si="1"/>
        <v>vless://b4210d85-47f3-4ca1-b66a-b829596f11d4@vp6.batw.eu.org:4567?encryption=none&amp;security=reality&amp;type=tcp&amp;sni=vp6.edu.tw&amp;fp=chrome&amp;pbk=swgXIpGcJF34pYYwjPznkG4jZ6dH8oLaO2ImCbFTMVE&amp;sid=6ba85179e30d4fc2&amp;flow=xtls-rprx-vision#VP6_Reality_TLS</v>
      </c>
      <c r="I8" s="125" t="str">
        <f t="shared" si="2"/>
        <v>vless://b4210d85-47f3-4ca1-b66a-b829596f11d4@vp6.batw.eu.org:4567?encryption=none&amp;security=reality&amp;type=grpc&amp;sni=vp6.edu.tw&amp;fp=chrome&amp;pbk=swgXIpGcJF34pYYwjPznkG4jZ6dH8oLaO2ImCbFTMVE&amp;sid=6ba85179e30d4fc2&amp;path=grpc&amp;serviceName=grpc#VP6Reality_gRPC</v>
      </c>
      <c r="J8" s="84" t="str">
        <f t="shared" si="3"/>
        <v xml:space="preserve"> vless://b4210d85-47f3-4ca1-b66a-b829596f11d4@cf08.aaw.eu.org:443?encryption=none&amp;security=tls&amp;type=ws&amp;host=vp6.edu.tw&amp;sni=vp6.edu.tw&amp;fp=chrome&amp;path=/saeaaws#VP6_VLESS_WS</v>
      </c>
      <c r="K8" s="84" t="str">
        <f t="shared" si="4"/>
        <v>vless://b4210d85-47f3-4ca1-b66a-b829596f11d4@cf08.aaw.eu.org:443?encryption=none&amp;security=tls&amp;type=grpc&amp;host=vp6.edu.tw&amp;path=saeaagrpc&amp;fp=chrome&amp;serviceName=saeaagrpc&amp;alpn=h2&amp;sni=vp6.edu.tw#VP6_VLESS_gRPC</v>
      </c>
      <c r="L8" s="84" t="str">
        <f t="shared" si="5"/>
        <v>trojan://b4210d85-47f3-4ca1-b66a-b829596f11d4@cf08.aaw.eu.org:443?encryption=none&amp;peer=vp6.edu.tw&amp;fp=chrome&amp;security=tls&amp;type=grpc&amp;sni=vp6.edu.tw&amp;alpn=h2&amp;path=saeaatrojangrpc&amp;serviceName=saeaatrojangrpc#VP6_Trojan_gRPC</v>
      </c>
      <c r="M8" s="84" t="str" cm="1">
        <f t="array" ref="M8">IF(B8&lt;&gt;"","vmess://"&amp;EncodeBase64("  {""port"":443,""ps"""&amp;":"""&amp;UPPER(LEFT(C8,FIND(".",C8)-1))&amp;"_VMess_WS"",""tls"":""tls"",""id"":"""&amp;B8&amp;""",""aid"":0,""v"":2,""host"":"""&amp;C8&amp;""",""type"":""none"",""path"":""/"&amp;D8&amp;"vws"&amp;""",""net"":""ws"",""add"":"""&amp;F8&amp;""""&amp;","&amp;"""allowInsecure"":0,""method"":""none"",""peer"":"""&amp;C8&amp;""",""sni"":"""&amp;C8&amp;"""}"),"")</f>
        <v>vmess://ICB7InBvcnQiOjQ0MywicHMiOiJWUDZfVk1lc3NfV1MiLCJ0bHMiOiJ0bHMiLCJpZCI6ImI0MjEwZDg1LTQ3ZjMtNGNhMS1iNjZhLWI4Mjk1OTZmMTFkNCIsImFpZCI6MCwidiI6MiwiaG9zdCI6InZwNi5lZHUudHciLCJ0eXBlIjoibm9uZSIsInBhdGgiOiIvc2FlYWF2d3MiLCJuZXQiOiJ3cyIsImFkZCI6InZwNi5iYXR3LmV1Lm9yZyIsImFsbG93SW5zZWN1cmUiOjAsIm1ldGhvZCI6Im5vbmUiLCJwZWVyIjoidnA2LmVkdS50dyIsInNuaSI6InZwNi5lZHUudHcifQ==</v>
      </c>
      <c r="N8" s="84" t="str">
        <f t="shared" si="6"/>
        <v>trojan://b4210d85-47f3-4ca1-b66a-b829596f11d4@vp6.batw.eu.org:443?peer=vp6.edu.tw&amp;fp=chrome&amp;sni=vp6.edu.tw&amp;alpn=http/1.1#VP6_Trojan</v>
      </c>
      <c r="O8" s="84" t="str">
        <f t="shared" si="7"/>
        <v xml:space="preserve"> vless://b4210d85-47f3-4ca1-b66a-b829596f11d4@vp6.batw.eu.org:443?encryption=none&amp;security=tls&amp;fp=chrome&amp;type=tcp&amp;host=vp6.edu.tw&amp;headerType=none&amp;sni=vp6.edu.tw&amp;flow=xtls-rprx-vision#VP6_VLESS_TLS</v>
      </c>
    </row>
    <row r="9" spans="1:15" ht="19.95" customHeight="1" x14ac:dyDescent="0.25">
      <c r="A9" s="9">
        <v>8</v>
      </c>
      <c r="B9" s="10" t="s">
        <v>437</v>
      </c>
      <c r="C9" s="6" t="s">
        <v>489</v>
      </c>
      <c r="D9" s="1" t="s">
        <v>481</v>
      </c>
      <c r="E9" s="6" t="s">
        <v>470</v>
      </c>
      <c r="F9" s="6" t="str">
        <f t="shared" si="8"/>
        <v>vp7.batw.eu.org</v>
      </c>
      <c r="G9" s="139" t="str">
        <f t="shared" si="0"/>
        <v>VP7_VMess_WS = vmess, cf09.aaw.eu.org, 443, username=24ad30eb-c49f-4a51-a103-39f089fff3df, ws=true, tls=true, ws-path=/saeaavws, skip-cert-verify=false, udp-relay=false, vmess-aead=true, ws-headers=Host:vp7.edu.tw, sni=vp7.edu.tw</v>
      </c>
      <c r="H9" s="125" t="str">
        <f t="shared" si="1"/>
        <v>vless://24ad30eb-c49f-4a51-a103-39f089fff3df@vp7.batw.eu.org:4567?encryption=none&amp;security=reality&amp;type=tcp&amp;sni=vp7.edu.tw&amp;fp=chrome&amp;pbk=swgXIpGcJF34pYYwjPznkG4jZ6dH8oLaO2ImCbFTMVE&amp;sid=6ba85179e30d4fc2&amp;flow=xtls-rprx-vision#VP7_Reality_TLS</v>
      </c>
      <c r="I9" s="125" t="str">
        <f t="shared" si="2"/>
        <v>vless://24ad30eb-c49f-4a51-a103-39f089fff3df@vp7.batw.eu.org:4567?encryption=none&amp;security=reality&amp;type=grpc&amp;sni=vp7.edu.tw&amp;fp=chrome&amp;pbk=swgXIpGcJF34pYYwjPznkG4jZ6dH8oLaO2ImCbFTMVE&amp;sid=6ba85179e30d4fc2&amp;path=grpc&amp;serviceName=grpc#VP7Reality_gRPC</v>
      </c>
      <c r="J9" s="84" t="str">
        <f t="shared" si="3"/>
        <v xml:space="preserve"> vless://24ad30eb-c49f-4a51-a103-39f089fff3df@cf09.aaw.eu.org:443?encryption=none&amp;security=tls&amp;type=ws&amp;host=vp7.edu.tw&amp;sni=vp7.edu.tw&amp;fp=chrome&amp;path=/saeaaws#VP7_VLESS_WS</v>
      </c>
      <c r="K9" s="84" t="str">
        <f t="shared" si="4"/>
        <v>vless://24ad30eb-c49f-4a51-a103-39f089fff3df@cf09.aaw.eu.org:443?encryption=none&amp;security=tls&amp;type=grpc&amp;host=vp7.edu.tw&amp;path=saeaagrpc&amp;fp=chrome&amp;serviceName=saeaagrpc&amp;alpn=h2&amp;sni=vp7.edu.tw#VP7_VLESS_gRPC</v>
      </c>
      <c r="L9" s="84" t="str">
        <f t="shared" si="5"/>
        <v>trojan://24ad30eb-c49f-4a51-a103-39f089fff3df@cf09.aaw.eu.org:443?encryption=none&amp;peer=vp7.edu.tw&amp;fp=chrome&amp;security=tls&amp;type=grpc&amp;sni=vp7.edu.tw&amp;alpn=h2&amp;path=saeaatrojangrpc&amp;serviceName=saeaatrojangrpc#VP7_Trojan_gRPC</v>
      </c>
      <c r="M9" s="84" t="str" cm="1">
        <f t="array" ref="M9">IF(B9&lt;&gt;"","vmess://"&amp;EncodeBase64("  {""port"":443,""ps"""&amp;":"""&amp;UPPER(LEFT(C9,FIND(".",C9)-1))&amp;"_VMess_WS"",""tls"":""tls"",""id"":"""&amp;B9&amp;""",""aid"":0,""v"":2,""host"":"""&amp;C9&amp;""",""type"":""none"",""path"":""/"&amp;D9&amp;"vws"&amp;""",""net"":""ws"",""add"":"""&amp;F9&amp;""""&amp;","&amp;"""allowInsecure"":0,""method"":""none"",""peer"":"""&amp;C9&amp;""",""sni"":"""&amp;C9&amp;"""}"),"")</f>
        <v>vmess://ICB7InBvcnQiOjQ0MywicHMiOiJWUDdfVk1lc3NfV1MiLCJ0bHMiOiJ0bHMiLCJpZCI6IjI0YWQzMGViLWM0OWYtNGE1MS1hMTAzLTM5ZjA4OWZmZjNkZiIsImFpZCI6MCwidiI6MiwiaG9zdCI6InZwNy5lZHUudHciLCJ0eXBlIjoibm9uZSIsInBhdGgiOiIvc2FlYWF2d3MiLCJuZXQiOiJ3cyIsImFkZCI6InZwNy5iYXR3LmV1Lm9yZyIsImFsbG93SW5zZWN1cmUiOjAsIm1ldGhvZCI6Im5vbmUiLCJwZWVyIjoidnA3LmVkdS50dyIsInNuaSI6InZwNy5lZHUudHcifQ==</v>
      </c>
      <c r="N9" s="84" t="str">
        <f t="shared" si="6"/>
        <v>trojan://24ad30eb-c49f-4a51-a103-39f089fff3df@vp7.batw.eu.org:443?peer=vp7.edu.tw&amp;fp=chrome&amp;sni=vp7.edu.tw&amp;alpn=http/1.1#VP7_Trojan</v>
      </c>
      <c r="O9" s="84" t="str">
        <f t="shared" si="7"/>
        <v xml:space="preserve"> vless://24ad30eb-c49f-4a51-a103-39f089fff3df@vp7.batw.eu.org:443?encryption=none&amp;security=tls&amp;fp=chrome&amp;type=tcp&amp;host=vp7.edu.tw&amp;headerType=none&amp;sni=vp7.edu.tw&amp;flow=xtls-rprx-vision#VP7_VLESS_TLS</v>
      </c>
    </row>
    <row r="10" spans="1:15" ht="19.95" customHeight="1" x14ac:dyDescent="0.25">
      <c r="A10" s="9">
        <v>9</v>
      </c>
      <c r="B10" s="10" t="s">
        <v>438</v>
      </c>
      <c r="C10" s="6" t="s">
        <v>490</v>
      </c>
      <c r="D10" s="1" t="s">
        <v>481</v>
      </c>
      <c r="E10" s="6" t="s">
        <v>471</v>
      </c>
      <c r="F10" s="6" t="str">
        <f t="shared" si="8"/>
        <v>vp8.batw.eu.org</v>
      </c>
      <c r="G10" s="139" t="str">
        <f t="shared" si="0"/>
        <v>VP8_VMess_WS = vmess, cf10.aaw.eu.org, 443, username=746a852a-d987-4097-9541-a49bc507657e, ws=true, tls=true, ws-path=/saeaavws, skip-cert-verify=false, udp-relay=false, vmess-aead=true, ws-headers=Host:vp8.edu.tw, sni=vp8.edu.tw</v>
      </c>
      <c r="H10" s="125" t="str">
        <f t="shared" si="1"/>
        <v>vless://746a852a-d987-4097-9541-a49bc507657e@vp8.batw.eu.org:4567?encryption=none&amp;security=reality&amp;type=tcp&amp;sni=vp8.edu.tw&amp;fp=chrome&amp;pbk=swgXIpGcJF34pYYwjPznkG4jZ6dH8oLaO2ImCbFTMVE&amp;sid=6ba85179e30d4fc2&amp;flow=xtls-rprx-vision#VP8_Reality_TLS</v>
      </c>
      <c r="I10" s="125" t="str">
        <f t="shared" si="2"/>
        <v>vless://746a852a-d987-4097-9541-a49bc507657e@vp8.batw.eu.org:4567?encryption=none&amp;security=reality&amp;type=grpc&amp;sni=vp8.edu.tw&amp;fp=chrome&amp;pbk=swgXIpGcJF34pYYwjPznkG4jZ6dH8oLaO2ImCbFTMVE&amp;sid=6ba85179e30d4fc2&amp;path=grpc&amp;serviceName=grpc#VP8Reality_gRPC</v>
      </c>
      <c r="J10" s="84" t="str">
        <f t="shared" si="3"/>
        <v xml:space="preserve"> vless://746a852a-d987-4097-9541-a49bc507657e@cf10.aaw.eu.org:443?encryption=none&amp;security=tls&amp;type=ws&amp;host=vp8.edu.tw&amp;sni=vp8.edu.tw&amp;fp=chrome&amp;path=/saeaaws#VP8_VLESS_WS</v>
      </c>
      <c r="K10" s="84" t="str">
        <f t="shared" si="4"/>
        <v>vless://746a852a-d987-4097-9541-a49bc507657e@cf10.aaw.eu.org:443?encryption=none&amp;security=tls&amp;type=grpc&amp;host=vp8.edu.tw&amp;path=saeaagrpc&amp;fp=chrome&amp;serviceName=saeaagrpc&amp;alpn=h2&amp;sni=vp8.edu.tw#VP8_VLESS_gRPC</v>
      </c>
      <c r="L10" s="84" t="str">
        <f t="shared" si="5"/>
        <v>trojan://746a852a-d987-4097-9541-a49bc507657e@cf10.aaw.eu.org:443?encryption=none&amp;peer=vp8.edu.tw&amp;fp=chrome&amp;security=tls&amp;type=grpc&amp;sni=vp8.edu.tw&amp;alpn=h2&amp;path=saeaatrojangrpc&amp;serviceName=saeaatrojangrpc#VP8_Trojan_gRPC</v>
      </c>
      <c r="M10" s="84" t="str" cm="1">
        <f t="array" ref="M10">IF(B10&lt;&gt;"","vmess://"&amp;EncodeBase64("  {""port"":443,""ps"""&amp;":"""&amp;UPPER(LEFT(C10,FIND(".",C10)-1))&amp;"_VMess_WS"",""tls"":""tls"",""id"":"""&amp;B10&amp;""",""aid"":0,""v"":2,""host"":"""&amp;C10&amp;""",""type"":""none"",""path"":""/"&amp;D10&amp;"vws"&amp;""",""net"":""ws"",""add"":"""&amp;F10&amp;""""&amp;","&amp;"""allowInsecure"":0,""method"":""none"",""peer"":"""&amp;C10&amp;""",""sni"":"""&amp;C10&amp;"""}"),"")</f>
        <v>vmess://ICB7InBvcnQiOjQ0MywicHMiOiJWUDhfVk1lc3NfV1MiLCJ0bHMiOiJ0bHMiLCJpZCI6Ijc0NmE4NTJhLWQ5ODctNDA5Ny05NTQxLWE0OWJjNTA3NjU3ZSIsImFpZCI6MCwidiI6MiwiaG9zdCI6InZwOC5lZHUudHciLCJ0eXBlIjoibm9uZSIsInBhdGgiOiIvc2FlYWF2d3MiLCJuZXQiOiJ3cyIsImFkZCI6InZwOC5iYXR3LmV1Lm9yZyIsImFsbG93SW5zZWN1cmUiOjAsIm1ldGhvZCI6Im5vbmUiLCJwZWVyIjoidnA4LmVkdS50dyIsInNuaSI6InZwOC5lZHUudHcifQ==</v>
      </c>
      <c r="N10" s="84" t="str">
        <f t="shared" si="6"/>
        <v>trojan://746a852a-d987-4097-9541-a49bc507657e@vp8.batw.eu.org:443?peer=vp8.edu.tw&amp;fp=chrome&amp;sni=vp8.edu.tw&amp;alpn=http/1.1#VP8_Trojan</v>
      </c>
      <c r="O10" s="84" t="str">
        <f t="shared" si="7"/>
        <v xml:space="preserve"> vless://746a852a-d987-4097-9541-a49bc507657e@vp8.batw.eu.org:443?encryption=none&amp;security=tls&amp;fp=chrome&amp;type=tcp&amp;host=vp8.edu.tw&amp;headerType=none&amp;sni=vp8.edu.tw&amp;flow=xtls-rprx-vision#VP8_VLESS_TLS</v>
      </c>
    </row>
    <row r="11" spans="1:15" ht="19.95" customHeight="1" x14ac:dyDescent="0.25">
      <c r="A11" s="9">
        <v>10</v>
      </c>
      <c r="B11" s="10" t="s">
        <v>439</v>
      </c>
      <c r="C11" s="6" t="s">
        <v>491</v>
      </c>
      <c r="D11" s="1" t="s">
        <v>481</v>
      </c>
      <c r="E11" s="6" t="s">
        <v>472</v>
      </c>
      <c r="F11" s="6" t="str">
        <f t="shared" si="8"/>
        <v>vp9.batw.eu.org</v>
      </c>
      <c r="G11" s="139" t="str">
        <f t="shared" si="0"/>
        <v>VP9_VMess_WS = vmess, cf11.aaw.eu.org, 443, username=a86d91f9-4e7d-47fd-b9c3-ca2eb117b03f, ws=true, tls=true, ws-path=/saeaavws, skip-cert-verify=false, udp-relay=false, vmess-aead=true, ws-headers=Host:vp9.edu.tw, sni=vp9.edu.tw</v>
      </c>
      <c r="H11" s="125" t="str">
        <f t="shared" si="1"/>
        <v>vless://a86d91f9-4e7d-47fd-b9c3-ca2eb117b03f@vp9.batw.eu.org:4567?encryption=none&amp;security=reality&amp;type=tcp&amp;sni=vp9.edu.tw&amp;fp=chrome&amp;pbk=swgXIpGcJF34pYYwjPznkG4jZ6dH8oLaO2ImCbFTMVE&amp;sid=6ba85179e30d4fc2&amp;flow=xtls-rprx-vision#VP9_Reality_TLS</v>
      </c>
      <c r="I11" s="125" t="str">
        <f t="shared" si="2"/>
        <v>vless://a86d91f9-4e7d-47fd-b9c3-ca2eb117b03f@vp9.batw.eu.org:4567?encryption=none&amp;security=reality&amp;type=grpc&amp;sni=vp9.edu.tw&amp;fp=chrome&amp;pbk=swgXIpGcJF34pYYwjPznkG4jZ6dH8oLaO2ImCbFTMVE&amp;sid=6ba85179e30d4fc2&amp;path=grpc&amp;serviceName=grpc#VP9Reality_gRPC</v>
      </c>
      <c r="J11" s="84" t="str">
        <f t="shared" si="3"/>
        <v xml:space="preserve"> vless://a86d91f9-4e7d-47fd-b9c3-ca2eb117b03f@cf11.aaw.eu.org:443?encryption=none&amp;security=tls&amp;type=ws&amp;host=vp9.edu.tw&amp;sni=vp9.edu.tw&amp;fp=chrome&amp;path=/saeaaws#VP9_VLESS_WS</v>
      </c>
      <c r="K11" s="84" t="str">
        <f t="shared" si="4"/>
        <v>vless://a86d91f9-4e7d-47fd-b9c3-ca2eb117b03f@cf11.aaw.eu.org:443?encryption=none&amp;security=tls&amp;type=grpc&amp;host=vp9.edu.tw&amp;path=saeaagrpc&amp;fp=chrome&amp;serviceName=saeaagrpc&amp;alpn=h2&amp;sni=vp9.edu.tw#VP9_VLESS_gRPC</v>
      </c>
      <c r="L11" s="84" t="str">
        <f t="shared" si="5"/>
        <v>trojan://a86d91f9-4e7d-47fd-b9c3-ca2eb117b03f@cf11.aaw.eu.org:443?encryption=none&amp;peer=vp9.edu.tw&amp;fp=chrome&amp;security=tls&amp;type=grpc&amp;sni=vp9.edu.tw&amp;alpn=h2&amp;path=saeaatrojangrpc&amp;serviceName=saeaatrojangrpc#VP9_Trojan_gRPC</v>
      </c>
      <c r="M11" s="84" t="str" cm="1">
        <f t="array" ref="M11">IF(B11&lt;&gt;"","vmess://"&amp;EncodeBase64("  {""port"":443,""ps"""&amp;":"""&amp;UPPER(LEFT(C11,FIND(".",C11)-1))&amp;"_VMess_WS"",""tls"":""tls"",""id"":"""&amp;B11&amp;""",""aid"":0,""v"":2,""host"":"""&amp;C11&amp;""",""type"":""none"",""path"":""/"&amp;D11&amp;"vws"&amp;""",""net"":""ws"",""add"":"""&amp;F11&amp;""""&amp;","&amp;"""allowInsecure"":0,""method"":""none"",""peer"":"""&amp;C11&amp;""",""sni"":"""&amp;C11&amp;"""}"),"")</f>
        <v>vmess://ICB7InBvcnQiOjQ0MywicHMiOiJWUDlfVk1lc3NfV1MiLCJ0bHMiOiJ0bHMiLCJpZCI6ImE4NmQ5MWY5LTRlN2QtNDdmZC1iOWMzLWNhMmViMTE3YjAzZiIsImFpZCI6MCwidiI6MiwiaG9zdCI6InZwOS5lZHUudHciLCJ0eXBlIjoibm9uZSIsInBhdGgiOiIvc2FlYWF2d3MiLCJuZXQiOiJ3cyIsImFkZCI6InZwOS5iYXR3LmV1Lm9yZyIsImFsbG93SW5zZWN1cmUiOjAsIm1ldGhvZCI6Im5vbmUiLCJwZWVyIjoidnA5LmVkdS50dyIsInNuaSI6InZwOS5lZHUudHcifQ==</v>
      </c>
      <c r="N11" s="84" t="str">
        <f t="shared" si="6"/>
        <v>trojan://a86d91f9-4e7d-47fd-b9c3-ca2eb117b03f@vp9.batw.eu.org:443?peer=vp9.edu.tw&amp;fp=chrome&amp;sni=vp9.edu.tw&amp;alpn=http/1.1#VP9_Trojan</v>
      </c>
      <c r="O11" s="84" t="str">
        <f t="shared" si="7"/>
        <v xml:space="preserve"> vless://a86d91f9-4e7d-47fd-b9c3-ca2eb117b03f@vp9.batw.eu.org:443?encryption=none&amp;security=tls&amp;fp=chrome&amp;type=tcp&amp;host=vp9.edu.tw&amp;headerType=none&amp;sni=vp9.edu.tw&amp;flow=xtls-rprx-vision#VP9_VLESS_TLS</v>
      </c>
    </row>
    <row r="12" spans="1:15" ht="19.95" customHeight="1" x14ac:dyDescent="0.25">
      <c r="A12" s="9">
        <v>11</v>
      </c>
      <c r="B12" s="10" t="s">
        <v>440</v>
      </c>
      <c r="C12" s="6" t="s">
        <v>492</v>
      </c>
      <c r="D12" s="1" t="s">
        <v>481</v>
      </c>
      <c r="E12" s="6" t="s">
        <v>473</v>
      </c>
      <c r="F12" s="6" t="str">
        <f t="shared" si="8"/>
        <v>vp10.batw.eu.org</v>
      </c>
      <c r="G12" s="139" t="str">
        <f t="shared" si="0"/>
        <v>VP10_VMess_WS = vmess, cf12.aaw.eu.org, 443, username=e49068a6-b41e-43d9-8eec-40393ba1b995, ws=true, tls=true, ws-path=/saeaavws, skip-cert-verify=false, udp-relay=false, vmess-aead=true, ws-headers=Host:vp10.edu.tw, sni=vp10.edu.tw</v>
      </c>
      <c r="H12" s="125" t="str">
        <f t="shared" si="1"/>
        <v>vless://e49068a6-b41e-43d9-8eec-40393ba1b995@vp10.batw.eu.org:4567?encryption=none&amp;security=reality&amp;type=tcp&amp;sni=vp10.edu.tw&amp;fp=chrome&amp;pbk=swgXIpGcJF34pYYwjPznkG4jZ6dH8oLaO2ImCbFTMVE&amp;sid=6ba85179e30d4fc2&amp;flow=xtls-rprx-vision#VP10_Reality_TLS</v>
      </c>
      <c r="I12" s="125" t="str">
        <f t="shared" si="2"/>
        <v>vless://e49068a6-b41e-43d9-8eec-40393ba1b995@vp10.batw.eu.org:4567?encryption=none&amp;security=reality&amp;type=grpc&amp;sni=vp10.edu.tw&amp;fp=chrome&amp;pbk=swgXIpGcJF34pYYwjPznkG4jZ6dH8oLaO2ImCbFTMVE&amp;sid=6ba85179e30d4fc2&amp;path=grpc&amp;serviceName=grpc#VP10Reality_gRPC</v>
      </c>
      <c r="J12" s="84" t="str">
        <f t="shared" si="3"/>
        <v xml:space="preserve"> vless://e49068a6-b41e-43d9-8eec-40393ba1b995@cf12.aaw.eu.org:443?encryption=none&amp;security=tls&amp;type=ws&amp;host=vp10.edu.tw&amp;sni=vp10.edu.tw&amp;fp=chrome&amp;path=/saeaaws#VP10_VLESS_WS</v>
      </c>
      <c r="K12" s="84" t="str">
        <f t="shared" si="4"/>
        <v>vless://e49068a6-b41e-43d9-8eec-40393ba1b995@cf12.aaw.eu.org:443?encryption=none&amp;security=tls&amp;type=grpc&amp;host=vp10.edu.tw&amp;path=saeaagrpc&amp;fp=chrome&amp;serviceName=saeaagrpc&amp;alpn=h2&amp;sni=vp10.edu.tw#VP10_VLESS_gRPC</v>
      </c>
      <c r="L12" s="84" t="str">
        <f t="shared" si="5"/>
        <v>trojan://e49068a6-b41e-43d9-8eec-40393ba1b995@cf12.aaw.eu.org:443?encryption=none&amp;peer=vp10.edu.tw&amp;fp=chrome&amp;security=tls&amp;type=grpc&amp;sni=vp10.edu.tw&amp;alpn=h2&amp;path=saeaatrojangrpc&amp;serviceName=saeaatrojangrpc#VP10_Trojan_gRPC</v>
      </c>
      <c r="M12" s="84" t="str" cm="1">
        <f t="array" ref="M12">IF(B12&lt;&gt;"","vmess://"&amp;EncodeBase64("  {""port"":443,""ps"""&amp;":"""&amp;UPPER(LEFT(C12,FIND(".",C12)-1))&amp;"_VMess_WS"",""tls"":""tls"",""id"":"""&amp;B12&amp;""",""aid"":0,""v"":2,""host"":"""&amp;C12&amp;""",""type"":""none"",""path"":""/"&amp;D12&amp;"vws"&amp;""",""net"":""ws"",""add"":"""&amp;F12&amp;""""&amp;","&amp;"""allowInsecure"":0,""method"":""none"",""peer"":"""&amp;C12&amp;""",""sni"":"""&amp;C12&amp;"""}"),"")</f>
        <v>vmess://ICB7InBvcnQiOjQ0MywicHMiOiJWUDEwX1ZNZXNzX1dTIiwidGxzIjoidGxzIiwiaWQiOiJlNDkwNjhhNi1iNDFlLTQzZDktOGVlYy00MDM5M2JhMWI5OTUiLCJhaWQiOjAsInYiOjIsImhvc3QiOiJ2cDEwLmVkdS50dyIsInR5cGUiOiJub25lIiwicGF0aCI6Ii9zYWVhYXZ3cyIsIm5ldCI6IndzIiwiYWRkIjoidnAxMC5iYXR3LmV1Lm9yZyIsImFsbG93SW5zZWN1cmUiOjAsIm1ldGhvZCI6Im5vbmUiLCJwZWVyIjoidnAxMC5lZHUudHciLCJzbmkiOiJ2cDEwLmVkdS50dyJ9</v>
      </c>
      <c r="N12" s="84" t="str">
        <f t="shared" si="6"/>
        <v>trojan://e49068a6-b41e-43d9-8eec-40393ba1b995@vp10.batw.eu.org:443?peer=vp10.edu.tw&amp;fp=chrome&amp;sni=vp10.edu.tw&amp;alpn=http/1.1#VP10_Trojan</v>
      </c>
      <c r="O12" s="84" t="str">
        <f t="shared" si="7"/>
        <v xml:space="preserve"> vless://e49068a6-b41e-43d9-8eec-40393ba1b995@vp10.batw.eu.org:443?encryption=none&amp;security=tls&amp;fp=chrome&amp;type=tcp&amp;host=vp10.edu.tw&amp;headerType=none&amp;sni=vp10.edu.tw&amp;flow=xtls-rprx-vision#VP10_VLESS_TLS</v>
      </c>
    </row>
    <row r="13" spans="1:15" ht="19.95" customHeight="1" x14ac:dyDescent="0.25">
      <c r="A13" s="9">
        <v>12</v>
      </c>
      <c r="B13" s="10" t="s">
        <v>441</v>
      </c>
      <c r="C13" s="6" t="s">
        <v>493</v>
      </c>
      <c r="D13" s="1" t="s">
        <v>481</v>
      </c>
      <c r="E13" s="6" t="s">
        <v>474</v>
      </c>
      <c r="F13" s="6" t="str">
        <f t="shared" si="8"/>
        <v>vp11.batw.eu.org</v>
      </c>
      <c r="G13" s="139" t="str">
        <f t="shared" si="0"/>
        <v>VP11_VMess_WS = vmess, cf13.aaw.eu.org, 443, username=8c3d9d25-ee83-488c-b18e-d15ead39633a, ws=true, tls=true, ws-path=/saeaavws, skip-cert-verify=false, udp-relay=false, vmess-aead=true, ws-headers=Host:vp11.edu.tw, sni=vp11.edu.tw</v>
      </c>
      <c r="H13" s="125" t="str">
        <f t="shared" si="1"/>
        <v>vless://8c3d9d25-ee83-488c-b18e-d15ead39633a@vp11.batw.eu.org:4567?encryption=none&amp;security=reality&amp;type=tcp&amp;sni=vp11.edu.tw&amp;fp=chrome&amp;pbk=swgXIpGcJF34pYYwjPznkG4jZ6dH8oLaO2ImCbFTMVE&amp;sid=6ba85179e30d4fc2&amp;flow=xtls-rprx-vision#VP11_Reality_TLS</v>
      </c>
      <c r="I13" s="125" t="str">
        <f t="shared" si="2"/>
        <v>vless://8c3d9d25-ee83-488c-b18e-d15ead39633a@vp11.batw.eu.org:4567?encryption=none&amp;security=reality&amp;type=grpc&amp;sni=vp11.edu.tw&amp;fp=chrome&amp;pbk=swgXIpGcJF34pYYwjPznkG4jZ6dH8oLaO2ImCbFTMVE&amp;sid=6ba85179e30d4fc2&amp;path=grpc&amp;serviceName=grpc#VP11Reality_gRPC</v>
      </c>
      <c r="J13" s="84" t="str">
        <f t="shared" si="3"/>
        <v xml:space="preserve"> vless://8c3d9d25-ee83-488c-b18e-d15ead39633a@cf13.aaw.eu.org:443?encryption=none&amp;security=tls&amp;type=ws&amp;host=vp11.edu.tw&amp;sni=vp11.edu.tw&amp;fp=chrome&amp;path=/saeaaws#VP11_VLESS_WS</v>
      </c>
      <c r="K13" s="84" t="str">
        <f t="shared" si="4"/>
        <v>vless://8c3d9d25-ee83-488c-b18e-d15ead39633a@cf13.aaw.eu.org:443?encryption=none&amp;security=tls&amp;type=grpc&amp;host=vp11.edu.tw&amp;path=saeaagrpc&amp;fp=chrome&amp;serviceName=saeaagrpc&amp;alpn=h2&amp;sni=vp11.edu.tw#VP11_VLESS_gRPC</v>
      </c>
      <c r="L13" s="84" t="str">
        <f t="shared" si="5"/>
        <v>trojan://8c3d9d25-ee83-488c-b18e-d15ead39633a@cf13.aaw.eu.org:443?encryption=none&amp;peer=vp11.edu.tw&amp;fp=chrome&amp;security=tls&amp;type=grpc&amp;sni=vp11.edu.tw&amp;alpn=h2&amp;path=saeaatrojangrpc&amp;serviceName=saeaatrojangrpc#VP11_Trojan_gRPC</v>
      </c>
      <c r="M13" s="84" t="str" cm="1">
        <f t="array" ref="M13">IF(B13&lt;&gt;"","vmess://"&amp;EncodeBase64("  {""port"":443,""ps"""&amp;":"""&amp;UPPER(LEFT(C13,FIND(".",C13)-1))&amp;"_VMess_WS"",""tls"":""tls"",""id"":"""&amp;B13&amp;""",""aid"":0,""v"":2,""host"":"""&amp;C13&amp;""",""type"":""none"",""path"":""/"&amp;D13&amp;"vws"&amp;""",""net"":""ws"",""add"":"""&amp;F13&amp;""""&amp;","&amp;"""allowInsecure"":0,""method"":""none"",""peer"":"""&amp;C13&amp;""",""sni"":"""&amp;C13&amp;"""}"),"")</f>
        <v>vmess://ICB7InBvcnQiOjQ0MywicHMiOiJWUDExX1ZNZXNzX1dTIiwidGxzIjoidGxzIiwiaWQiOiI4YzNkOWQyNS1lZTgzLTQ4OGMtYjE4ZS1kMTVlYWQzOTYzM2EiLCJhaWQiOjAsInYiOjIsImhvc3QiOiJ2cDExLmVkdS50dyIsInR5cGUiOiJub25lIiwicGF0aCI6Ii9zYWVhYXZ3cyIsIm5ldCI6IndzIiwiYWRkIjoidnAxMS5iYXR3LmV1Lm9yZyIsImFsbG93SW5zZWN1cmUiOjAsIm1ldGhvZCI6Im5vbmUiLCJwZWVyIjoidnAxMS5lZHUudHciLCJzbmkiOiJ2cDExLmVkdS50dyJ9</v>
      </c>
      <c r="N13" s="84" t="str">
        <f t="shared" si="6"/>
        <v>trojan://8c3d9d25-ee83-488c-b18e-d15ead39633a@vp11.batw.eu.org:443?peer=vp11.edu.tw&amp;fp=chrome&amp;sni=vp11.edu.tw&amp;alpn=http/1.1#VP11_Trojan</v>
      </c>
      <c r="O13" s="84" t="str">
        <f t="shared" si="7"/>
        <v xml:space="preserve"> vless://8c3d9d25-ee83-488c-b18e-d15ead39633a@vp11.batw.eu.org:443?encryption=none&amp;security=tls&amp;fp=chrome&amp;type=tcp&amp;host=vp11.edu.tw&amp;headerType=none&amp;sni=vp11.edu.tw&amp;flow=xtls-rprx-vision#VP11_VLESS_TLS</v>
      </c>
    </row>
    <row r="14" spans="1:15" ht="19.95" customHeight="1" x14ac:dyDescent="0.25">
      <c r="A14" s="9">
        <v>13</v>
      </c>
      <c r="B14" s="10" t="s">
        <v>442</v>
      </c>
      <c r="C14" s="6" t="s">
        <v>494</v>
      </c>
      <c r="D14" s="1" t="s">
        <v>481</v>
      </c>
      <c r="E14" s="6" t="s">
        <v>475</v>
      </c>
      <c r="F14" s="6" t="str">
        <f t="shared" si="8"/>
        <v>vp12.batw.eu.org</v>
      </c>
      <c r="G14" s="139" t="str">
        <f t="shared" si="0"/>
        <v>VP12_VMess_WS = vmess, cf14.aaw.eu.org, 443, username=d08e5185-0e04-48f3-9ab3-c509acda6083, ws=true, tls=true, ws-path=/saeaavws, skip-cert-verify=false, udp-relay=false, vmess-aead=true, ws-headers=Host:vp12.edu.tw, sni=vp12.edu.tw</v>
      </c>
      <c r="H14" s="125" t="str">
        <f t="shared" si="1"/>
        <v>vless://d08e5185-0e04-48f3-9ab3-c509acda6083@vp12.batw.eu.org:4567?encryption=none&amp;security=reality&amp;type=tcp&amp;sni=vp12.edu.tw&amp;fp=chrome&amp;pbk=swgXIpGcJF34pYYwjPznkG4jZ6dH8oLaO2ImCbFTMVE&amp;sid=6ba85179e30d4fc2&amp;flow=xtls-rprx-vision#VP12_Reality_TLS</v>
      </c>
      <c r="I14" s="125" t="str">
        <f t="shared" si="2"/>
        <v>vless://d08e5185-0e04-48f3-9ab3-c509acda6083@vp12.batw.eu.org:4567?encryption=none&amp;security=reality&amp;type=grpc&amp;sni=vp12.edu.tw&amp;fp=chrome&amp;pbk=swgXIpGcJF34pYYwjPznkG4jZ6dH8oLaO2ImCbFTMVE&amp;sid=6ba85179e30d4fc2&amp;path=grpc&amp;serviceName=grpc#VP12Reality_gRPC</v>
      </c>
      <c r="J14" s="84" t="str">
        <f t="shared" si="3"/>
        <v xml:space="preserve"> vless://d08e5185-0e04-48f3-9ab3-c509acda6083@cf14.aaw.eu.org:443?encryption=none&amp;security=tls&amp;type=ws&amp;host=vp12.edu.tw&amp;sni=vp12.edu.tw&amp;fp=chrome&amp;path=/saeaaws#VP12_VLESS_WS</v>
      </c>
      <c r="K14" s="84" t="str">
        <f t="shared" si="4"/>
        <v>vless://d08e5185-0e04-48f3-9ab3-c509acda6083@cf14.aaw.eu.org:443?encryption=none&amp;security=tls&amp;type=grpc&amp;host=vp12.edu.tw&amp;path=saeaagrpc&amp;fp=chrome&amp;serviceName=saeaagrpc&amp;alpn=h2&amp;sni=vp12.edu.tw#VP12_VLESS_gRPC</v>
      </c>
      <c r="L14" s="84" t="str">
        <f t="shared" si="5"/>
        <v>trojan://d08e5185-0e04-48f3-9ab3-c509acda6083@cf14.aaw.eu.org:443?encryption=none&amp;peer=vp12.edu.tw&amp;fp=chrome&amp;security=tls&amp;type=grpc&amp;sni=vp12.edu.tw&amp;alpn=h2&amp;path=saeaatrojangrpc&amp;serviceName=saeaatrojangrpc#VP12_Trojan_gRPC</v>
      </c>
      <c r="M14" s="84" t="str" cm="1">
        <f t="array" ref="M14">IF(B14&lt;&gt;"","vmess://"&amp;EncodeBase64("  {""port"":443,""ps"""&amp;":"""&amp;UPPER(LEFT(C14,FIND(".",C14)-1))&amp;"_VMess_WS"",""tls"":""tls"",""id"":"""&amp;B14&amp;""",""aid"":0,""v"":2,""host"":"""&amp;C14&amp;""",""type"":""none"",""path"":""/"&amp;D14&amp;"vws"&amp;""",""net"":""ws"",""add"":"""&amp;F14&amp;""""&amp;","&amp;"""allowInsecure"":0,""method"":""none"",""peer"":"""&amp;C14&amp;""",""sni"":"""&amp;C14&amp;"""}"),"")</f>
        <v>vmess://ICB7InBvcnQiOjQ0MywicHMiOiJWUDEyX1ZNZXNzX1dTIiwidGxzIjoidGxzIiwiaWQiOiJkMDhlNTE4NS0wZTA0LTQ4ZjMtOWFiMy1jNTA5YWNkYTYwODMiLCJhaWQiOjAsInYiOjIsImhvc3QiOiJ2cDEyLmVkdS50dyIsInR5cGUiOiJub25lIiwicGF0aCI6Ii9zYWVhYXZ3cyIsIm5ldCI6IndzIiwiYWRkIjoidnAxMi5iYXR3LmV1Lm9yZyIsImFsbG93SW5zZWN1cmUiOjAsIm1ldGhvZCI6Im5vbmUiLCJwZWVyIjoidnAxMi5lZHUudHciLCJzbmkiOiJ2cDEyLmVkdS50dyJ9</v>
      </c>
      <c r="N14" s="84" t="str">
        <f t="shared" si="6"/>
        <v>trojan://d08e5185-0e04-48f3-9ab3-c509acda6083@vp12.batw.eu.org:443?peer=vp12.edu.tw&amp;fp=chrome&amp;sni=vp12.edu.tw&amp;alpn=http/1.1#VP12_Trojan</v>
      </c>
      <c r="O14" s="84" t="str">
        <f t="shared" si="7"/>
        <v xml:space="preserve"> vless://d08e5185-0e04-48f3-9ab3-c509acda6083@vp12.batw.eu.org:443?encryption=none&amp;security=tls&amp;fp=chrome&amp;type=tcp&amp;host=vp12.edu.tw&amp;headerType=none&amp;sni=vp12.edu.tw&amp;flow=xtls-rprx-vision#VP12_VLESS_TLS</v>
      </c>
    </row>
    <row r="15" spans="1:15" ht="19.95" customHeight="1" x14ac:dyDescent="0.25">
      <c r="A15" s="9">
        <v>14</v>
      </c>
      <c r="B15" s="10" t="s">
        <v>443</v>
      </c>
      <c r="C15" s="6" t="s">
        <v>495</v>
      </c>
      <c r="D15" s="1" t="s">
        <v>481</v>
      </c>
      <c r="E15" s="6" t="s">
        <v>476</v>
      </c>
      <c r="F15" s="6" t="str">
        <f t="shared" si="8"/>
        <v>vp13.batw.eu.org</v>
      </c>
      <c r="G15" s="139" t="str">
        <f t="shared" si="0"/>
        <v>VP13_VMess_WS = vmess, cf15.aaw.eu.org, 443, username=0f2febe2-a369-4f60-9a70-39c8068e70b7, ws=true, tls=true, ws-path=/saeaavws, skip-cert-verify=false, udp-relay=false, vmess-aead=true, ws-headers=Host:vp13.edu.tw, sni=vp13.edu.tw</v>
      </c>
      <c r="H15" s="125" t="str">
        <f t="shared" si="1"/>
        <v>vless://0f2febe2-a369-4f60-9a70-39c8068e70b7@vp13.batw.eu.org:4567?encryption=none&amp;security=reality&amp;type=tcp&amp;sni=vp13.edu.tw&amp;fp=chrome&amp;pbk=swgXIpGcJF34pYYwjPznkG4jZ6dH8oLaO2ImCbFTMVE&amp;sid=6ba85179e30d4fc2&amp;flow=xtls-rprx-vision#VP13_Reality_TLS</v>
      </c>
      <c r="I15" s="125" t="str">
        <f t="shared" si="2"/>
        <v>vless://0f2febe2-a369-4f60-9a70-39c8068e70b7@vp13.batw.eu.org:4567?encryption=none&amp;security=reality&amp;type=grpc&amp;sni=vp13.edu.tw&amp;fp=chrome&amp;pbk=swgXIpGcJF34pYYwjPznkG4jZ6dH8oLaO2ImCbFTMVE&amp;sid=6ba85179e30d4fc2&amp;path=grpc&amp;serviceName=grpc#VP13Reality_gRPC</v>
      </c>
      <c r="J15" s="84" t="str">
        <f t="shared" si="3"/>
        <v xml:space="preserve"> vless://0f2febe2-a369-4f60-9a70-39c8068e70b7@cf15.aaw.eu.org:443?encryption=none&amp;security=tls&amp;type=ws&amp;host=vp13.edu.tw&amp;sni=vp13.edu.tw&amp;fp=chrome&amp;path=/saeaaws#VP13_VLESS_WS</v>
      </c>
      <c r="K15" s="84" t="str">
        <f t="shared" si="4"/>
        <v>vless://0f2febe2-a369-4f60-9a70-39c8068e70b7@cf15.aaw.eu.org:443?encryption=none&amp;security=tls&amp;type=grpc&amp;host=vp13.edu.tw&amp;path=saeaagrpc&amp;fp=chrome&amp;serviceName=saeaagrpc&amp;alpn=h2&amp;sni=vp13.edu.tw#VP13_VLESS_gRPC</v>
      </c>
      <c r="L15" s="84" t="str">
        <f t="shared" si="5"/>
        <v>trojan://0f2febe2-a369-4f60-9a70-39c8068e70b7@cf15.aaw.eu.org:443?encryption=none&amp;peer=vp13.edu.tw&amp;fp=chrome&amp;security=tls&amp;type=grpc&amp;sni=vp13.edu.tw&amp;alpn=h2&amp;path=saeaatrojangrpc&amp;serviceName=saeaatrojangrpc#VP13_Trojan_gRPC</v>
      </c>
      <c r="M15" s="84" t="str" cm="1">
        <f t="array" ref="M15">IF(B15&lt;&gt;"","vmess://"&amp;EncodeBase64("  {""port"":443,""ps"""&amp;":"""&amp;UPPER(LEFT(C15,FIND(".",C15)-1))&amp;"_VMess_WS"",""tls"":""tls"",""id"":"""&amp;B15&amp;""",""aid"":0,""v"":2,""host"":"""&amp;C15&amp;""",""type"":""none"",""path"":""/"&amp;D15&amp;"vws"&amp;""",""net"":""ws"",""add"":"""&amp;F15&amp;""""&amp;","&amp;"""allowInsecure"":0,""method"":""none"",""peer"":"""&amp;C15&amp;""",""sni"":"""&amp;C15&amp;"""}"),"")</f>
        <v>vmess://ICB7InBvcnQiOjQ0MywicHMiOiJWUDEzX1ZNZXNzX1dTIiwidGxzIjoidGxzIiwiaWQiOiIwZjJmZWJlMi1hMzY5LTRmNjAtOWE3MC0zOWM4MDY4ZTcwYjciLCJhaWQiOjAsInYiOjIsImhvc3QiOiJ2cDEzLmVkdS50dyIsInR5cGUiOiJub25lIiwicGF0aCI6Ii9zYWVhYXZ3cyIsIm5ldCI6IndzIiwiYWRkIjoidnAxMy5iYXR3LmV1Lm9yZyIsImFsbG93SW5zZWN1cmUiOjAsIm1ldGhvZCI6Im5vbmUiLCJwZWVyIjoidnAxMy5lZHUudHciLCJzbmkiOiJ2cDEzLmVkdS50dyJ9</v>
      </c>
      <c r="N15" s="84" t="str">
        <f t="shared" si="6"/>
        <v>trojan://0f2febe2-a369-4f60-9a70-39c8068e70b7@vp13.batw.eu.org:443?peer=vp13.edu.tw&amp;fp=chrome&amp;sni=vp13.edu.tw&amp;alpn=http/1.1#VP13_Trojan</v>
      </c>
      <c r="O15" s="84" t="str">
        <f t="shared" si="7"/>
        <v xml:space="preserve"> vless://0f2febe2-a369-4f60-9a70-39c8068e70b7@vp13.batw.eu.org:443?encryption=none&amp;security=tls&amp;fp=chrome&amp;type=tcp&amp;host=vp13.edu.tw&amp;headerType=none&amp;sni=vp13.edu.tw&amp;flow=xtls-rprx-vision#VP13_VLESS_TLS</v>
      </c>
    </row>
    <row r="16" spans="1:15" ht="19.95" customHeight="1" x14ac:dyDescent="0.25">
      <c r="A16" s="9">
        <v>15</v>
      </c>
      <c r="B16" s="10" t="s">
        <v>444</v>
      </c>
      <c r="C16" s="6" t="s">
        <v>496</v>
      </c>
      <c r="D16" s="1" t="s">
        <v>481</v>
      </c>
      <c r="E16" s="6" t="s">
        <v>477</v>
      </c>
      <c r="F16" s="6" t="str">
        <f t="shared" si="8"/>
        <v>vp14.batw.eu.org</v>
      </c>
      <c r="G16" s="139" t="str">
        <f t="shared" si="0"/>
        <v>VP14_VMess_WS = vmess, cf16.aaw.eu.org, 443, username=886ade6b-25fd-48eb-9104-8a71b5d8a0e2, ws=true, tls=true, ws-path=/saeaavws, skip-cert-verify=false, udp-relay=false, vmess-aead=true, ws-headers=Host:vp14.edu.tw, sni=vp14.edu.tw</v>
      </c>
      <c r="H16" s="125" t="str">
        <f t="shared" si="1"/>
        <v>vless://886ade6b-25fd-48eb-9104-8a71b5d8a0e2@vp14.batw.eu.org:4567?encryption=none&amp;security=reality&amp;type=tcp&amp;sni=vp14.edu.tw&amp;fp=chrome&amp;pbk=swgXIpGcJF34pYYwjPznkG4jZ6dH8oLaO2ImCbFTMVE&amp;sid=6ba85179e30d4fc2&amp;flow=xtls-rprx-vision#VP14_Reality_TLS</v>
      </c>
      <c r="I16" s="125" t="str">
        <f t="shared" si="2"/>
        <v>vless://886ade6b-25fd-48eb-9104-8a71b5d8a0e2@vp14.batw.eu.org:4567?encryption=none&amp;security=reality&amp;type=grpc&amp;sni=vp14.edu.tw&amp;fp=chrome&amp;pbk=swgXIpGcJF34pYYwjPznkG4jZ6dH8oLaO2ImCbFTMVE&amp;sid=6ba85179e30d4fc2&amp;path=grpc&amp;serviceName=grpc#VP14Reality_gRPC</v>
      </c>
      <c r="J16" s="84" t="str">
        <f t="shared" si="3"/>
        <v xml:space="preserve"> vless://886ade6b-25fd-48eb-9104-8a71b5d8a0e2@cf16.aaw.eu.org:443?encryption=none&amp;security=tls&amp;type=ws&amp;host=vp14.edu.tw&amp;sni=vp14.edu.tw&amp;fp=chrome&amp;path=/saeaaws#VP14_VLESS_WS</v>
      </c>
      <c r="K16" s="84" t="str">
        <f t="shared" si="4"/>
        <v>vless://886ade6b-25fd-48eb-9104-8a71b5d8a0e2@cf16.aaw.eu.org:443?encryption=none&amp;security=tls&amp;type=grpc&amp;host=vp14.edu.tw&amp;path=saeaagrpc&amp;fp=chrome&amp;serviceName=saeaagrpc&amp;alpn=h2&amp;sni=vp14.edu.tw#VP14_VLESS_gRPC</v>
      </c>
      <c r="L16" s="84" t="str">
        <f t="shared" si="5"/>
        <v>trojan://886ade6b-25fd-48eb-9104-8a71b5d8a0e2@cf16.aaw.eu.org:443?encryption=none&amp;peer=vp14.edu.tw&amp;fp=chrome&amp;security=tls&amp;type=grpc&amp;sni=vp14.edu.tw&amp;alpn=h2&amp;path=saeaatrojangrpc&amp;serviceName=saeaatrojangrpc#VP14_Trojan_gRPC</v>
      </c>
      <c r="M16" s="84" t="str" cm="1">
        <f t="array" ref="M16">IF(B16&lt;&gt;"","vmess://"&amp;EncodeBase64("  {""port"":443,""ps"""&amp;":"""&amp;UPPER(LEFT(C16,FIND(".",C16)-1))&amp;"_VMess_WS"",""tls"":""tls"",""id"":"""&amp;B16&amp;""",""aid"":0,""v"":2,""host"":"""&amp;C16&amp;""",""type"":""none"",""path"":""/"&amp;D16&amp;"vws"&amp;""",""net"":""ws"",""add"":"""&amp;F16&amp;""""&amp;","&amp;"""allowInsecure"":0,""method"":""none"",""peer"":"""&amp;C16&amp;""",""sni"":"""&amp;C16&amp;"""}"),"")</f>
        <v>vmess://ICB7InBvcnQiOjQ0MywicHMiOiJWUDE0X1ZNZXNzX1dTIiwidGxzIjoidGxzIiwiaWQiOiI4ODZhZGU2Yi0yNWZkLTQ4ZWItOTEwNC04YTcxYjVkOGEwZTIiLCJhaWQiOjAsInYiOjIsImhvc3QiOiJ2cDE0LmVkdS50dyIsInR5cGUiOiJub25lIiwicGF0aCI6Ii9zYWVhYXZ3cyIsIm5ldCI6IndzIiwiYWRkIjoidnAxNC5iYXR3LmV1Lm9yZyIsImFsbG93SW5zZWN1cmUiOjAsIm1ldGhvZCI6Im5vbmUiLCJwZWVyIjoidnAxNC5lZHUudHciLCJzbmkiOiJ2cDE0LmVkdS50dyJ9</v>
      </c>
      <c r="N16" s="84" t="str">
        <f t="shared" si="6"/>
        <v>trojan://886ade6b-25fd-48eb-9104-8a71b5d8a0e2@vp14.batw.eu.org:443?peer=vp14.edu.tw&amp;fp=chrome&amp;sni=vp14.edu.tw&amp;alpn=http/1.1#VP14_Trojan</v>
      </c>
      <c r="O16" s="84" t="str">
        <f t="shared" si="7"/>
        <v xml:space="preserve"> vless://886ade6b-25fd-48eb-9104-8a71b5d8a0e2@vp14.batw.eu.org:443?encryption=none&amp;security=tls&amp;fp=chrome&amp;type=tcp&amp;host=vp14.edu.tw&amp;headerType=none&amp;sni=vp14.edu.tw&amp;flow=xtls-rprx-vision#VP14_VLESS_TLS</v>
      </c>
    </row>
    <row r="17" spans="1:15" ht="19.95" customHeight="1" x14ac:dyDescent="0.25">
      <c r="A17" s="9">
        <v>16</v>
      </c>
      <c r="B17" s="10" t="s">
        <v>445</v>
      </c>
      <c r="C17" s="6" t="s">
        <v>497</v>
      </c>
      <c r="D17" s="1" t="s">
        <v>481</v>
      </c>
      <c r="E17" s="6" t="s">
        <v>478</v>
      </c>
      <c r="F17" s="6" t="str">
        <f t="shared" si="8"/>
        <v>vp15.batw.eu.org</v>
      </c>
      <c r="G17" s="139" t="str">
        <f t="shared" si="0"/>
        <v>VP15_VMess_WS = vmess, cf17.aaw.eu.org, 443, username=f87632e1-fb5e-4758-ad9e-ee42c35da43f, ws=true, tls=true, ws-path=/saeaavws, skip-cert-verify=false, udp-relay=false, vmess-aead=true, ws-headers=Host:vp15.edu.tw, sni=vp15.edu.tw</v>
      </c>
      <c r="H17" s="125" t="str">
        <f t="shared" si="1"/>
        <v>vless://f87632e1-fb5e-4758-ad9e-ee42c35da43f@vp15.batw.eu.org:4567?encryption=none&amp;security=reality&amp;type=tcp&amp;sni=vp15.edu.tw&amp;fp=chrome&amp;pbk=swgXIpGcJF34pYYwjPznkG4jZ6dH8oLaO2ImCbFTMVE&amp;sid=6ba85179e30d4fc2&amp;flow=xtls-rprx-vision#VP15_Reality_TLS</v>
      </c>
      <c r="I17" s="125" t="str">
        <f t="shared" si="2"/>
        <v>vless://f87632e1-fb5e-4758-ad9e-ee42c35da43f@vp15.batw.eu.org:4567?encryption=none&amp;security=reality&amp;type=grpc&amp;sni=vp15.edu.tw&amp;fp=chrome&amp;pbk=swgXIpGcJF34pYYwjPznkG4jZ6dH8oLaO2ImCbFTMVE&amp;sid=6ba85179e30d4fc2&amp;path=grpc&amp;serviceName=grpc#VP15Reality_gRPC</v>
      </c>
      <c r="J17" s="84" t="str">
        <f t="shared" si="3"/>
        <v xml:space="preserve"> vless://f87632e1-fb5e-4758-ad9e-ee42c35da43f@cf17.aaw.eu.org:443?encryption=none&amp;security=tls&amp;type=ws&amp;host=vp15.edu.tw&amp;sni=vp15.edu.tw&amp;fp=chrome&amp;path=/saeaaws#VP15_VLESS_WS</v>
      </c>
      <c r="K17" s="84" t="str">
        <f t="shared" si="4"/>
        <v>vless://f87632e1-fb5e-4758-ad9e-ee42c35da43f@cf17.aaw.eu.org:443?encryption=none&amp;security=tls&amp;type=grpc&amp;host=vp15.edu.tw&amp;path=saeaagrpc&amp;fp=chrome&amp;serviceName=saeaagrpc&amp;alpn=h2&amp;sni=vp15.edu.tw#VP15_VLESS_gRPC</v>
      </c>
      <c r="L17" s="84" t="str">
        <f t="shared" si="5"/>
        <v>trojan://f87632e1-fb5e-4758-ad9e-ee42c35da43f@cf17.aaw.eu.org:443?encryption=none&amp;peer=vp15.edu.tw&amp;fp=chrome&amp;security=tls&amp;type=grpc&amp;sni=vp15.edu.tw&amp;alpn=h2&amp;path=saeaatrojangrpc&amp;serviceName=saeaatrojangrpc#VP15_Trojan_gRPC</v>
      </c>
      <c r="M17" s="84" t="str" cm="1">
        <f t="array" ref="M17">IF(B17&lt;&gt;"","vmess://"&amp;EncodeBase64("  {""port"":443,""ps"""&amp;":"""&amp;UPPER(LEFT(C17,FIND(".",C17)-1))&amp;"_VMess_WS"",""tls"":""tls"",""id"":"""&amp;B17&amp;""",""aid"":0,""v"":2,""host"":"""&amp;C17&amp;""",""type"":""none"",""path"":""/"&amp;D17&amp;"vws"&amp;""",""net"":""ws"",""add"":"""&amp;F17&amp;""""&amp;","&amp;"""allowInsecure"":0,""method"":""none"",""peer"":"""&amp;C17&amp;""",""sni"":"""&amp;C17&amp;"""}"),"")</f>
        <v>vmess://ICB7InBvcnQiOjQ0MywicHMiOiJWUDE1X1ZNZXNzX1dTIiwidGxzIjoidGxzIiwiaWQiOiJmODc2MzJlMS1mYjVlLTQ3NTgtYWQ5ZS1lZTQyYzM1ZGE0M2YiLCJhaWQiOjAsInYiOjIsImhvc3QiOiJ2cDE1LmVkdS50dyIsInR5cGUiOiJub25lIiwicGF0aCI6Ii9zYWVhYXZ3cyIsIm5ldCI6IndzIiwiYWRkIjoidnAxNS5iYXR3LmV1Lm9yZyIsImFsbG93SW5zZWN1cmUiOjAsIm1ldGhvZCI6Im5vbmUiLCJwZWVyIjoidnAxNS5lZHUudHciLCJzbmkiOiJ2cDE1LmVkdS50dyJ9</v>
      </c>
      <c r="N17" s="84" t="str">
        <f t="shared" si="6"/>
        <v>trojan://f87632e1-fb5e-4758-ad9e-ee42c35da43f@vp15.batw.eu.org:443?peer=vp15.edu.tw&amp;fp=chrome&amp;sni=vp15.edu.tw&amp;alpn=http/1.1#VP15_Trojan</v>
      </c>
      <c r="O17" s="84" t="str">
        <f t="shared" si="7"/>
        <v xml:space="preserve"> vless://f87632e1-fb5e-4758-ad9e-ee42c35da43f@vp15.batw.eu.org:443?encryption=none&amp;security=tls&amp;fp=chrome&amp;type=tcp&amp;host=vp15.edu.tw&amp;headerType=none&amp;sni=vp15.edu.tw&amp;flow=xtls-rprx-vision#VP15_VLESS_TLS</v>
      </c>
    </row>
    <row r="18" spans="1:15" ht="19.95" customHeight="1" x14ac:dyDescent="0.25">
      <c r="A18" s="9">
        <v>17</v>
      </c>
      <c r="B18" s="10" t="s">
        <v>446</v>
      </c>
      <c r="C18" s="6" t="s">
        <v>498</v>
      </c>
      <c r="D18" s="1" t="s">
        <v>481</v>
      </c>
      <c r="E18" s="6" t="s">
        <v>479</v>
      </c>
      <c r="F18" s="6" t="str">
        <f t="shared" si="8"/>
        <v>vp16.batw.eu.org</v>
      </c>
      <c r="G18" s="139" t="str">
        <f t="shared" si="0"/>
        <v>VP16_VMess_WS = vmess, cf18.aaw.eu.org, 443, username=a46f6a5b-deee-450f-ba9c-1e4bb323bc23, ws=true, tls=true, ws-path=/saeaavws, skip-cert-verify=false, udp-relay=false, vmess-aead=true, ws-headers=Host:vp16.edu.tw, sni=vp16.edu.tw</v>
      </c>
      <c r="H18" s="125" t="str">
        <f t="shared" si="1"/>
        <v>vless://a46f6a5b-deee-450f-ba9c-1e4bb323bc23@vp16.batw.eu.org:4567?encryption=none&amp;security=reality&amp;type=tcp&amp;sni=vp16.edu.tw&amp;fp=chrome&amp;pbk=swgXIpGcJF34pYYwjPznkG4jZ6dH8oLaO2ImCbFTMVE&amp;sid=6ba85179e30d4fc2&amp;flow=xtls-rprx-vision#VP16_Reality_TLS</v>
      </c>
      <c r="I18" s="125" t="str">
        <f t="shared" si="2"/>
        <v>vless://a46f6a5b-deee-450f-ba9c-1e4bb323bc23@vp16.batw.eu.org:4567?encryption=none&amp;security=reality&amp;type=grpc&amp;sni=vp16.edu.tw&amp;fp=chrome&amp;pbk=swgXIpGcJF34pYYwjPznkG4jZ6dH8oLaO2ImCbFTMVE&amp;sid=6ba85179e30d4fc2&amp;path=grpc&amp;serviceName=grpc#VP16Reality_gRPC</v>
      </c>
      <c r="J18" s="84" t="str">
        <f t="shared" si="3"/>
        <v xml:space="preserve"> vless://a46f6a5b-deee-450f-ba9c-1e4bb323bc23@cf18.aaw.eu.org:443?encryption=none&amp;security=tls&amp;type=ws&amp;host=vp16.edu.tw&amp;sni=vp16.edu.tw&amp;fp=chrome&amp;path=/saeaaws#VP16_VLESS_WS</v>
      </c>
      <c r="K18" s="84" t="str">
        <f t="shared" si="4"/>
        <v>vless://a46f6a5b-deee-450f-ba9c-1e4bb323bc23@cf18.aaw.eu.org:443?encryption=none&amp;security=tls&amp;type=grpc&amp;host=vp16.edu.tw&amp;path=saeaagrpc&amp;fp=chrome&amp;serviceName=saeaagrpc&amp;alpn=h2&amp;sni=vp16.edu.tw#VP16_VLESS_gRPC</v>
      </c>
      <c r="L18" s="84" t="str">
        <f t="shared" si="5"/>
        <v>trojan://a46f6a5b-deee-450f-ba9c-1e4bb323bc23@cf18.aaw.eu.org:443?encryption=none&amp;peer=vp16.edu.tw&amp;fp=chrome&amp;security=tls&amp;type=grpc&amp;sni=vp16.edu.tw&amp;alpn=h2&amp;path=saeaatrojangrpc&amp;serviceName=saeaatrojangrpc#VP16_Trojan_gRPC</v>
      </c>
      <c r="M18" s="84" t="str" cm="1">
        <f t="array" ref="M18">IF(B18&lt;&gt;"","vmess://"&amp;EncodeBase64("  {""port"":443,""ps"""&amp;":"""&amp;UPPER(LEFT(C18,FIND(".",C18)-1))&amp;"_VMess_WS"",""tls"":""tls"",""id"":"""&amp;B18&amp;""",""aid"":0,""v"":2,""host"":"""&amp;C18&amp;""",""type"":""none"",""path"":""/"&amp;D18&amp;"vws"&amp;""",""net"":""ws"",""add"":"""&amp;F18&amp;""""&amp;","&amp;"""allowInsecure"":0,""method"":""none"",""peer"":"""&amp;C18&amp;""",""sni"":"""&amp;C18&amp;"""}"),"")</f>
        <v>vmess://ICB7InBvcnQiOjQ0MywicHMiOiJWUDE2X1ZNZXNzX1dTIiwidGxzIjoidGxzIiwiaWQiOiJhNDZmNmE1Yi1kZWVlLTQ1MGYtYmE5Yy0xZTRiYjMyM2JjMjMiLCJhaWQiOjAsInYiOjIsImhvc3QiOiJ2cDE2LmVkdS50dyIsInR5cGUiOiJub25lIiwicGF0aCI6Ii9zYWVhYXZ3cyIsIm5ldCI6IndzIiwiYWRkIjoidnAxNi5iYXR3LmV1Lm9yZyIsImFsbG93SW5zZWN1cmUiOjAsIm1ldGhvZCI6Im5vbmUiLCJwZWVyIjoidnAxNi5lZHUudHciLCJzbmkiOiJ2cDE2LmVkdS50dyJ9</v>
      </c>
      <c r="N18" s="84" t="str">
        <f t="shared" si="6"/>
        <v>trojan://a46f6a5b-deee-450f-ba9c-1e4bb323bc23@vp16.batw.eu.org:443?peer=vp16.edu.tw&amp;fp=chrome&amp;sni=vp16.edu.tw&amp;alpn=http/1.1#VP16_Trojan</v>
      </c>
      <c r="O18" s="84" t="str">
        <f t="shared" si="7"/>
        <v xml:space="preserve"> vless://a46f6a5b-deee-450f-ba9c-1e4bb323bc23@vp16.batw.eu.org:443?encryption=none&amp;security=tls&amp;fp=chrome&amp;type=tcp&amp;host=vp16.edu.tw&amp;headerType=none&amp;sni=vp16.edu.tw&amp;flow=xtls-rprx-vision#VP16_VLESS_TLS</v>
      </c>
    </row>
    <row r="19" spans="1:15" ht="19.95" customHeight="1" x14ac:dyDescent="0.25">
      <c r="A19" s="9">
        <v>18</v>
      </c>
      <c r="B19" s="10" t="s">
        <v>447</v>
      </c>
      <c r="C19" s="6" t="s">
        <v>499</v>
      </c>
      <c r="D19" s="1" t="s">
        <v>481</v>
      </c>
      <c r="E19" s="6" t="s">
        <v>480</v>
      </c>
      <c r="F19" s="6" t="str">
        <f t="shared" si="8"/>
        <v>vp17.batw.eu.org</v>
      </c>
      <c r="G19" s="139" t="str">
        <f t="shared" si="0"/>
        <v>VP17_VMess_WS = vmess, cf19.aaw.eu.org, 443, username=4cbb6363-558c-4967-a7d6-68978e1ae58a, ws=true, tls=true, ws-path=/saeaavws, skip-cert-verify=false, udp-relay=false, vmess-aead=true, ws-headers=Host:vp17.edu.tw, sni=vp17.edu.tw</v>
      </c>
      <c r="H19" s="125" t="str">
        <f t="shared" si="1"/>
        <v>vless://4cbb6363-558c-4967-a7d6-68978e1ae58a@vp17.batw.eu.org:4567?encryption=none&amp;security=reality&amp;type=tcp&amp;sni=vp17.edu.tw&amp;fp=chrome&amp;pbk=swgXIpGcJF34pYYwjPznkG4jZ6dH8oLaO2ImCbFTMVE&amp;sid=6ba85179e30d4fc2&amp;flow=xtls-rprx-vision#VP17_Reality_TLS</v>
      </c>
      <c r="I19" s="125" t="str">
        <f t="shared" si="2"/>
        <v>vless://4cbb6363-558c-4967-a7d6-68978e1ae58a@vp17.batw.eu.org:4567?encryption=none&amp;security=reality&amp;type=grpc&amp;sni=vp17.edu.tw&amp;fp=chrome&amp;pbk=swgXIpGcJF34pYYwjPznkG4jZ6dH8oLaO2ImCbFTMVE&amp;sid=6ba85179e30d4fc2&amp;path=grpc&amp;serviceName=grpc#VP17Reality_gRPC</v>
      </c>
      <c r="J19" s="84" t="str">
        <f t="shared" si="3"/>
        <v xml:space="preserve"> vless://4cbb6363-558c-4967-a7d6-68978e1ae58a@cf19.aaw.eu.org:443?encryption=none&amp;security=tls&amp;type=ws&amp;host=vp17.edu.tw&amp;sni=vp17.edu.tw&amp;fp=chrome&amp;path=/saeaaws#VP17_VLESS_WS</v>
      </c>
      <c r="K19" s="84" t="str">
        <f t="shared" si="4"/>
        <v>vless://4cbb6363-558c-4967-a7d6-68978e1ae58a@cf19.aaw.eu.org:443?encryption=none&amp;security=tls&amp;type=grpc&amp;host=vp17.edu.tw&amp;path=saeaagrpc&amp;fp=chrome&amp;serviceName=saeaagrpc&amp;alpn=h2&amp;sni=vp17.edu.tw#VP17_VLESS_gRPC</v>
      </c>
      <c r="L19" s="84" t="str">
        <f t="shared" si="5"/>
        <v>trojan://4cbb6363-558c-4967-a7d6-68978e1ae58a@cf19.aaw.eu.org:443?encryption=none&amp;peer=vp17.edu.tw&amp;fp=chrome&amp;security=tls&amp;type=grpc&amp;sni=vp17.edu.tw&amp;alpn=h2&amp;path=saeaatrojangrpc&amp;serviceName=saeaatrojangrpc#VP17_Trojan_gRPC</v>
      </c>
      <c r="M19" s="84" t="str" cm="1">
        <f t="array" ref="M19">IF(B19&lt;&gt;"","vmess://"&amp;EncodeBase64("  {""port"":443,""ps"""&amp;":"""&amp;UPPER(LEFT(C19,FIND(".",C19)-1))&amp;"_VMess_WS"",""tls"":""tls"",""id"":"""&amp;B19&amp;""",""aid"":0,""v"":2,""host"":"""&amp;C19&amp;""",""type"":""none"",""path"":""/"&amp;D19&amp;"vws"&amp;""",""net"":""ws"",""add"":"""&amp;F19&amp;""""&amp;","&amp;"""allowInsecure"":0,""method"":""none"",""peer"":"""&amp;C19&amp;""",""sni"":"""&amp;C19&amp;"""}"),"")</f>
        <v>vmess://ICB7InBvcnQiOjQ0MywicHMiOiJWUDE3X1ZNZXNzX1dTIiwidGxzIjoidGxzIiwiaWQiOiI0Y2JiNjM2My01NThjLTQ5NjctYTdkNi02ODk3OGUxYWU1OGEiLCJhaWQiOjAsInYiOjIsImhvc3QiOiJ2cDE3LmVkdS50dyIsInR5cGUiOiJub25lIiwicGF0aCI6Ii9zYWVhYXZ3cyIsIm5ldCI6IndzIiwiYWRkIjoidnAxNy5iYXR3LmV1Lm9yZyIsImFsbG93SW5zZWN1cmUiOjAsIm1ldGhvZCI6Im5vbmUiLCJwZWVyIjoidnAxNy5lZHUudHciLCJzbmkiOiJ2cDE3LmVkdS50dyJ9</v>
      </c>
      <c r="N19" s="84" t="str">
        <f t="shared" si="6"/>
        <v>trojan://4cbb6363-558c-4967-a7d6-68978e1ae58a@vp17.batw.eu.org:443?peer=vp17.edu.tw&amp;fp=chrome&amp;sni=vp17.edu.tw&amp;alpn=http/1.1#VP17_Trojan</v>
      </c>
      <c r="O19" s="84" t="str">
        <f t="shared" si="7"/>
        <v xml:space="preserve"> vless://4cbb6363-558c-4967-a7d6-68978e1ae58a@vp17.batw.eu.org:443?encryption=none&amp;security=tls&amp;fp=chrome&amp;type=tcp&amp;host=vp17.edu.tw&amp;headerType=none&amp;sni=vp17.edu.tw&amp;flow=xtls-rprx-vision#VP17_VLESS_TLS</v>
      </c>
    </row>
    <row r="20" spans="1:15" ht="3" customHeight="1" x14ac:dyDescent="0.25">
      <c r="A20" s="68"/>
      <c r="B20" s="69"/>
      <c r="C20" s="70"/>
      <c r="D20" s="71"/>
      <c r="E20" s="70"/>
      <c r="F20" s="70"/>
      <c r="G20" s="70"/>
      <c r="H20" s="70"/>
      <c r="I20" s="70"/>
      <c r="J20" s="72"/>
      <c r="K20" s="72"/>
      <c r="L20" s="72"/>
      <c r="M20" s="52"/>
      <c r="N20" s="52"/>
      <c r="O20" s="52"/>
    </row>
    <row r="22" spans="1:15" ht="19.95" customHeight="1" x14ac:dyDescent="0.25">
      <c r="B22" s="79" t="s">
        <v>457</v>
      </c>
    </row>
    <row r="23" spans="1:15" ht="19.95" customHeight="1" x14ac:dyDescent="0.25">
      <c r="B23" s="79" t="s">
        <v>458</v>
      </c>
    </row>
  </sheetData>
  <sheetProtection algorithmName="SHA-512" hashValue="YlbBmYLEV82xxQwA5ZbweLbY7zKNv64pg3BG2F/YKhct+51rp6F/v2p7emdxmH1E3CoewFLQ2oC+Xkr0pVPcAg==" saltValue="o6xvvbU4iI6NJSludVJlyg==" spinCount="100000" sheet="1" objects="1" scenarios="1"/>
  <protectedRanges>
    <protectedRange sqref="B2:F19" name="区域1"/>
  </protectedRanges>
  <phoneticPr fontId="7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16617-CC35-424B-96AC-A0D495D023BB}">
  <sheetPr codeName="Sheet7">
    <tabColor theme="8"/>
  </sheetPr>
  <dimension ref="A1:T93"/>
  <sheetViews>
    <sheetView zoomScale="96" zoomScaleNormal="96" workbookViewId="0">
      <selection activeCell="F38" sqref="F38"/>
    </sheetView>
  </sheetViews>
  <sheetFormatPr defaultRowHeight="13.8" x14ac:dyDescent="0.25"/>
  <cols>
    <col min="1" max="1" width="3.88671875" style="40" bestFit="1" customWidth="1"/>
    <col min="2" max="2" width="10.77734375" bestFit="1" customWidth="1"/>
    <col min="3" max="3" width="42.44140625" bestFit="1" customWidth="1"/>
    <col min="4" max="4" width="13.33203125" style="33" bestFit="1" customWidth="1"/>
    <col min="5" max="5" width="3.88671875" bestFit="1" customWidth="1"/>
    <col min="6" max="6" width="10.77734375" bestFit="1" customWidth="1"/>
    <col min="7" max="7" width="42.77734375" bestFit="1" customWidth="1"/>
    <col min="8" max="8" width="13.33203125" style="33" bestFit="1" customWidth="1"/>
    <col min="9" max="9" width="3.88671875" bestFit="1" customWidth="1"/>
    <col min="10" max="10" width="10.88671875" bestFit="1" customWidth="1"/>
    <col min="11" max="11" width="42.33203125" bestFit="1" customWidth="1"/>
    <col min="12" max="12" width="12.88671875" style="33" bestFit="1" customWidth="1"/>
    <col min="13" max="13" width="3.88671875" bestFit="1" customWidth="1"/>
    <col min="14" max="14" width="10.77734375" bestFit="1" customWidth="1"/>
    <col min="15" max="15" width="42.44140625" bestFit="1" customWidth="1"/>
    <col min="16" max="16" width="12.88671875" style="33" bestFit="1" customWidth="1"/>
    <col min="17" max="17" width="3.88671875" bestFit="1" customWidth="1"/>
    <col min="18" max="18" width="10.77734375" bestFit="1" customWidth="1"/>
    <col min="19" max="19" width="42.33203125" bestFit="1" customWidth="1"/>
    <col min="20" max="20" width="12.88671875" style="33" bestFit="1" customWidth="1"/>
    <col min="21" max="21" width="10.6640625" customWidth="1"/>
  </cols>
  <sheetData>
    <row r="1" spans="1:20" ht="4.95" customHeight="1" x14ac:dyDescent="0.25">
      <c r="A1" s="77"/>
      <c r="B1" s="50"/>
      <c r="C1" s="50"/>
      <c r="D1" s="78"/>
      <c r="E1" s="50"/>
      <c r="F1" s="50"/>
      <c r="G1" s="50"/>
      <c r="H1" s="78"/>
      <c r="I1" s="50"/>
      <c r="J1" s="50"/>
      <c r="K1" s="50"/>
      <c r="L1" s="78"/>
    </row>
    <row r="2" spans="1:20" s="28" customFormat="1" x14ac:dyDescent="0.25">
      <c r="A2" s="26" t="s">
        <v>7</v>
      </c>
      <c r="B2" s="26" t="s">
        <v>0</v>
      </c>
      <c r="C2" s="26" t="s">
        <v>427</v>
      </c>
      <c r="D2" s="27" t="s">
        <v>89</v>
      </c>
      <c r="E2" s="26" t="s">
        <v>7</v>
      </c>
      <c r="F2" s="26" t="s">
        <v>0</v>
      </c>
      <c r="G2" s="26" t="s">
        <v>90</v>
      </c>
      <c r="H2" s="27" t="s">
        <v>89</v>
      </c>
      <c r="I2" s="26" t="s">
        <v>7</v>
      </c>
      <c r="J2" s="26" t="s">
        <v>0</v>
      </c>
      <c r="K2" s="26" t="s">
        <v>90</v>
      </c>
      <c r="L2" s="27" t="s">
        <v>89</v>
      </c>
      <c r="P2" s="29"/>
      <c r="T2" s="29"/>
    </row>
    <row r="3" spans="1:20" x14ac:dyDescent="0.25">
      <c r="A3" s="30">
        <v>1</v>
      </c>
      <c r="B3" s="31" t="s">
        <v>500</v>
      </c>
      <c r="C3" s="31" t="s">
        <v>101</v>
      </c>
      <c r="D3" s="32" t="s">
        <v>425</v>
      </c>
      <c r="E3" s="30">
        <v>1</v>
      </c>
      <c r="F3" s="31" t="s">
        <v>501</v>
      </c>
      <c r="G3" s="31" t="s">
        <v>126</v>
      </c>
      <c r="H3" s="32" t="s">
        <v>425</v>
      </c>
      <c r="I3" s="30">
        <v>1</v>
      </c>
      <c r="J3" s="31" t="s">
        <v>502</v>
      </c>
      <c r="K3" s="31" t="s">
        <v>147</v>
      </c>
      <c r="L3" s="32" t="s">
        <v>425</v>
      </c>
    </row>
    <row r="4" spans="1:20" x14ac:dyDescent="0.25">
      <c r="A4" s="30">
        <v>2</v>
      </c>
      <c r="B4" s="31" t="s">
        <v>500</v>
      </c>
      <c r="C4" s="34" t="s">
        <v>102</v>
      </c>
      <c r="D4" s="32" t="s">
        <v>426</v>
      </c>
      <c r="E4" s="30">
        <v>2</v>
      </c>
      <c r="F4" s="31" t="s">
        <v>501</v>
      </c>
      <c r="G4" s="31" t="s">
        <v>127</v>
      </c>
      <c r="H4" s="32" t="s">
        <v>426</v>
      </c>
      <c r="I4" s="30">
        <v>2</v>
      </c>
      <c r="J4" s="31" t="s">
        <v>503</v>
      </c>
      <c r="K4" s="31" t="s">
        <v>148</v>
      </c>
      <c r="L4" s="32" t="s">
        <v>426</v>
      </c>
    </row>
    <row r="5" spans="1:20" x14ac:dyDescent="0.25">
      <c r="A5" s="30">
        <v>3</v>
      </c>
      <c r="B5" s="31" t="s">
        <v>500</v>
      </c>
      <c r="C5" s="31" t="s">
        <v>103</v>
      </c>
      <c r="D5" s="32" t="s">
        <v>423</v>
      </c>
      <c r="E5" s="30">
        <v>3</v>
      </c>
      <c r="F5" s="31" t="s">
        <v>501</v>
      </c>
      <c r="G5" s="31" t="s">
        <v>128</v>
      </c>
      <c r="H5" s="32" t="s">
        <v>423</v>
      </c>
      <c r="I5" s="30">
        <v>3</v>
      </c>
      <c r="J5" s="31" t="s">
        <v>504</v>
      </c>
      <c r="K5" s="31" t="s">
        <v>149</v>
      </c>
      <c r="L5" s="32" t="s">
        <v>423</v>
      </c>
    </row>
    <row r="6" spans="1:20" x14ac:dyDescent="0.25">
      <c r="A6" s="30">
        <v>4</v>
      </c>
      <c r="B6" s="31" t="s">
        <v>500</v>
      </c>
      <c r="C6" s="31" t="s">
        <v>104</v>
      </c>
      <c r="D6" s="32" t="s">
        <v>424</v>
      </c>
      <c r="E6" s="30">
        <v>4</v>
      </c>
      <c r="F6" s="31" t="s">
        <v>501</v>
      </c>
      <c r="G6" s="31" t="s">
        <v>129</v>
      </c>
      <c r="H6" s="32" t="s">
        <v>424</v>
      </c>
      <c r="I6" s="30">
        <v>4</v>
      </c>
      <c r="J6" s="31" t="s">
        <v>505</v>
      </c>
      <c r="K6" s="31" t="s">
        <v>150</v>
      </c>
      <c r="L6" s="32" t="s">
        <v>424</v>
      </c>
    </row>
    <row r="7" spans="1:20" x14ac:dyDescent="0.25">
      <c r="A7" s="30">
        <v>5</v>
      </c>
      <c r="B7" s="31" t="s">
        <v>500</v>
      </c>
      <c r="C7" s="31" t="s">
        <v>105</v>
      </c>
      <c r="D7" s="32"/>
      <c r="E7" s="30">
        <v>5</v>
      </c>
      <c r="F7" s="31" t="s">
        <v>501</v>
      </c>
      <c r="G7" s="31" t="s">
        <v>130</v>
      </c>
      <c r="H7" s="32"/>
      <c r="I7" s="30">
        <v>5</v>
      </c>
      <c r="J7" s="31" t="s">
        <v>506</v>
      </c>
      <c r="K7" s="31" t="s">
        <v>151</v>
      </c>
      <c r="L7" s="32"/>
    </row>
    <row r="8" spans="1:20" x14ac:dyDescent="0.25">
      <c r="A8" s="30">
        <v>6</v>
      </c>
      <c r="B8" s="31" t="s">
        <v>500</v>
      </c>
      <c r="C8" s="31" t="s">
        <v>106</v>
      </c>
      <c r="D8" s="32"/>
      <c r="E8" s="30">
        <v>6</v>
      </c>
      <c r="F8" s="31" t="s">
        <v>501</v>
      </c>
      <c r="G8" s="31" t="s">
        <v>131</v>
      </c>
      <c r="H8" s="32"/>
      <c r="I8" s="30">
        <v>6</v>
      </c>
      <c r="J8" s="31" t="s">
        <v>507</v>
      </c>
      <c r="K8" s="31" t="s">
        <v>152</v>
      </c>
      <c r="L8" s="32"/>
    </row>
    <row r="9" spans="1:20" x14ac:dyDescent="0.25">
      <c r="A9" s="30">
        <v>7</v>
      </c>
      <c r="B9" s="31" t="s">
        <v>500</v>
      </c>
      <c r="C9" s="31" t="s">
        <v>107</v>
      </c>
      <c r="D9" s="32"/>
      <c r="E9" s="30">
        <v>7</v>
      </c>
      <c r="F9" s="31" t="s">
        <v>501</v>
      </c>
      <c r="G9" s="31" t="s">
        <v>132</v>
      </c>
      <c r="H9" s="32"/>
      <c r="I9" s="30">
        <v>7</v>
      </c>
      <c r="J9" s="31" t="s">
        <v>508</v>
      </c>
      <c r="K9" s="31" t="s">
        <v>153</v>
      </c>
      <c r="L9" s="32"/>
    </row>
    <row r="10" spans="1:20" x14ac:dyDescent="0.25">
      <c r="A10" s="30">
        <v>8</v>
      </c>
      <c r="B10" s="31" t="s">
        <v>500</v>
      </c>
      <c r="C10" s="31" t="s">
        <v>108</v>
      </c>
      <c r="D10" s="32"/>
      <c r="E10" s="30">
        <v>8</v>
      </c>
      <c r="F10" s="31" t="s">
        <v>501</v>
      </c>
      <c r="G10" s="31" t="s">
        <v>133</v>
      </c>
      <c r="H10" s="32"/>
      <c r="I10" s="30">
        <v>8</v>
      </c>
      <c r="J10" s="31" t="s">
        <v>509</v>
      </c>
      <c r="K10" s="31" t="s">
        <v>154</v>
      </c>
      <c r="L10" s="32"/>
    </row>
    <row r="11" spans="1:20" x14ac:dyDescent="0.25">
      <c r="A11" s="30">
        <v>9</v>
      </c>
      <c r="B11" s="31" t="s">
        <v>500</v>
      </c>
      <c r="C11" s="31" t="s">
        <v>109</v>
      </c>
      <c r="D11" s="32"/>
      <c r="E11" s="30">
        <v>9</v>
      </c>
      <c r="F11" s="31" t="s">
        <v>501</v>
      </c>
      <c r="G11" s="31" t="s">
        <v>134</v>
      </c>
      <c r="H11" s="32" t="s">
        <v>450</v>
      </c>
      <c r="I11" s="30">
        <v>9</v>
      </c>
      <c r="J11" s="31" t="s">
        <v>510</v>
      </c>
      <c r="K11" s="31" t="s">
        <v>155</v>
      </c>
      <c r="L11" s="32" t="s">
        <v>450</v>
      </c>
    </row>
    <row r="12" spans="1:20" x14ac:dyDescent="0.25">
      <c r="A12" s="30">
        <v>10</v>
      </c>
      <c r="B12" s="31" t="s">
        <v>500</v>
      </c>
      <c r="C12" s="31" t="s">
        <v>110</v>
      </c>
      <c r="D12" s="32"/>
      <c r="E12" s="30">
        <v>10</v>
      </c>
      <c r="F12" s="31" t="s">
        <v>501</v>
      </c>
      <c r="G12" s="31" t="s">
        <v>135</v>
      </c>
      <c r="H12" s="32"/>
      <c r="I12" s="30">
        <v>9</v>
      </c>
      <c r="J12" s="31" t="s">
        <v>511</v>
      </c>
      <c r="K12" s="31" t="s">
        <v>156</v>
      </c>
      <c r="L12" s="32"/>
    </row>
    <row r="13" spans="1:20" x14ac:dyDescent="0.25">
      <c r="A13" s="30">
        <v>11</v>
      </c>
      <c r="B13" s="31" t="s">
        <v>500</v>
      </c>
      <c r="C13" s="31" t="s">
        <v>111</v>
      </c>
      <c r="D13" s="32"/>
      <c r="E13" s="30">
        <v>11</v>
      </c>
      <c r="F13" s="31" t="s">
        <v>501</v>
      </c>
      <c r="G13" s="31" t="s">
        <v>136</v>
      </c>
      <c r="H13" s="32"/>
      <c r="I13" s="30"/>
      <c r="J13" s="31"/>
      <c r="K13" s="31"/>
      <c r="L13" s="32"/>
    </row>
    <row r="14" spans="1:20" x14ac:dyDescent="0.25">
      <c r="A14" s="30">
        <v>12</v>
      </c>
      <c r="B14" s="31" t="s">
        <v>500</v>
      </c>
      <c r="C14" s="31" t="s">
        <v>112</v>
      </c>
      <c r="D14" s="32"/>
      <c r="E14" s="30">
        <v>12</v>
      </c>
      <c r="F14" s="31" t="s">
        <v>501</v>
      </c>
      <c r="G14" s="31" t="s">
        <v>137</v>
      </c>
      <c r="H14" s="32"/>
      <c r="I14" s="30"/>
      <c r="J14" s="31"/>
      <c r="K14" s="31"/>
      <c r="L14" s="32"/>
    </row>
    <row r="15" spans="1:20" x14ac:dyDescent="0.25">
      <c r="A15" s="30">
        <v>13</v>
      </c>
      <c r="B15" s="31" t="s">
        <v>500</v>
      </c>
      <c r="C15" s="31" t="s">
        <v>113</v>
      </c>
      <c r="D15" s="32"/>
      <c r="E15" s="30">
        <v>13</v>
      </c>
      <c r="F15" s="31" t="s">
        <v>501</v>
      </c>
      <c r="G15" s="31" t="s">
        <v>138</v>
      </c>
      <c r="H15" s="32"/>
      <c r="I15" s="30"/>
      <c r="J15" s="31"/>
      <c r="K15" s="31"/>
      <c r="L15" s="32"/>
    </row>
    <row r="16" spans="1:20" x14ac:dyDescent="0.25">
      <c r="A16" s="30">
        <v>14</v>
      </c>
      <c r="B16" s="31" t="s">
        <v>500</v>
      </c>
      <c r="C16" s="31" t="s">
        <v>114</v>
      </c>
      <c r="D16" s="32" t="s">
        <v>450</v>
      </c>
      <c r="E16" s="30">
        <v>14</v>
      </c>
      <c r="F16" s="31" t="s">
        <v>501</v>
      </c>
      <c r="G16" s="31" t="s">
        <v>139</v>
      </c>
      <c r="H16" s="32"/>
      <c r="I16" s="30"/>
      <c r="J16" s="31"/>
      <c r="K16" s="31"/>
      <c r="L16" s="32"/>
    </row>
    <row r="17" spans="1:20" x14ac:dyDescent="0.25">
      <c r="A17" s="30">
        <v>15</v>
      </c>
      <c r="B17" s="31" t="s">
        <v>500</v>
      </c>
      <c r="C17" s="31" t="s">
        <v>115</v>
      </c>
      <c r="D17" s="32"/>
      <c r="E17" s="30">
        <v>15</v>
      </c>
      <c r="F17" s="31" t="s">
        <v>501</v>
      </c>
      <c r="G17" s="31" t="s">
        <v>140</v>
      </c>
      <c r="H17" s="32"/>
      <c r="I17" s="30"/>
      <c r="J17" s="31"/>
      <c r="K17" s="31"/>
      <c r="L17" s="32"/>
    </row>
    <row r="18" spans="1:20" x14ac:dyDescent="0.25">
      <c r="A18" s="30">
        <v>16</v>
      </c>
      <c r="B18" s="31" t="s">
        <v>500</v>
      </c>
      <c r="C18" s="31" t="s">
        <v>116</v>
      </c>
      <c r="D18" s="32"/>
      <c r="E18" s="30">
        <v>16</v>
      </c>
      <c r="F18" s="31" t="s">
        <v>501</v>
      </c>
      <c r="G18" s="31" t="s">
        <v>141</v>
      </c>
      <c r="H18" s="32"/>
      <c r="I18" s="30"/>
      <c r="J18" s="31"/>
      <c r="K18" s="31"/>
      <c r="L18" s="32"/>
    </row>
    <row r="19" spans="1:20" x14ac:dyDescent="0.25">
      <c r="A19" s="30">
        <v>17</v>
      </c>
      <c r="B19" s="31" t="s">
        <v>500</v>
      </c>
      <c r="C19" s="31" t="s">
        <v>117</v>
      </c>
      <c r="D19" s="32"/>
      <c r="E19" s="30">
        <v>17</v>
      </c>
      <c r="F19" s="31" t="s">
        <v>501</v>
      </c>
      <c r="G19" s="31" t="s">
        <v>142</v>
      </c>
      <c r="H19" s="32"/>
      <c r="I19" s="30"/>
      <c r="J19" s="31"/>
      <c r="K19" s="31"/>
      <c r="L19" s="32"/>
    </row>
    <row r="20" spans="1:20" x14ac:dyDescent="0.25">
      <c r="A20" s="30">
        <v>18</v>
      </c>
      <c r="B20" s="31" t="s">
        <v>500</v>
      </c>
      <c r="C20" s="31" t="s">
        <v>118</v>
      </c>
      <c r="D20" s="32"/>
      <c r="E20" s="30">
        <v>18</v>
      </c>
      <c r="F20" s="31" t="s">
        <v>501</v>
      </c>
      <c r="G20" s="31" t="s">
        <v>143</v>
      </c>
      <c r="H20" s="32"/>
      <c r="I20" s="30"/>
      <c r="J20" s="31"/>
      <c r="K20" s="31"/>
      <c r="L20" s="32"/>
    </row>
    <row r="21" spans="1:20" x14ac:dyDescent="0.25">
      <c r="A21" s="30">
        <v>19</v>
      </c>
      <c r="B21" s="31" t="s">
        <v>500</v>
      </c>
      <c r="C21" s="31" t="s">
        <v>119</v>
      </c>
      <c r="D21" s="32"/>
      <c r="E21" s="30">
        <v>19</v>
      </c>
      <c r="F21" s="31" t="s">
        <v>501</v>
      </c>
      <c r="G21" s="31" t="s">
        <v>144</v>
      </c>
      <c r="H21" s="32"/>
      <c r="I21" s="30"/>
      <c r="J21" s="31"/>
      <c r="K21" s="31"/>
      <c r="L21" s="32"/>
    </row>
    <row r="22" spans="1:20" x14ac:dyDescent="0.25">
      <c r="A22" s="30">
        <v>20</v>
      </c>
      <c r="B22" s="31" t="s">
        <v>500</v>
      </c>
      <c r="C22" s="31" t="s">
        <v>120</v>
      </c>
      <c r="D22" s="32"/>
      <c r="E22" s="30">
        <v>20</v>
      </c>
      <c r="F22" s="31" t="s">
        <v>501</v>
      </c>
      <c r="G22" s="31" t="s">
        <v>145</v>
      </c>
      <c r="H22" s="32"/>
      <c r="I22" s="30"/>
      <c r="J22" s="31"/>
      <c r="K22" s="31"/>
      <c r="L22" s="32"/>
    </row>
    <row r="23" spans="1:20" x14ac:dyDescent="0.25">
      <c r="A23" s="35">
        <v>21</v>
      </c>
      <c r="B23" s="31" t="s">
        <v>500</v>
      </c>
      <c r="C23" s="36" t="s">
        <v>121</v>
      </c>
      <c r="D23" s="37"/>
      <c r="E23" s="35"/>
      <c r="F23" s="36"/>
      <c r="G23" s="36"/>
      <c r="H23" s="37"/>
      <c r="I23" s="35"/>
      <c r="J23" s="31"/>
      <c r="K23" s="36"/>
      <c r="L23" s="37"/>
    </row>
    <row r="24" spans="1:20" x14ac:dyDescent="0.25">
      <c r="A24" s="35">
        <v>22</v>
      </c>
      <c r="B24" s="31" t="s">
        <v>500</v>
      </c>
      <c r="C24" s="38" t="s">
        <v>122</v>
      </c>
      <c r="D24" s="37"/>
      <c r="E24" s="35"/>
      <c r="F24" s="36"/>
      <c r="G24" s="36"/>
      <c r="H24" s="37"/>
      <c r="I24" s="35"/>
      <c r="J24" s="36"/>
      <c r="K24" s="36"/>
      <c r="L24" s="37"/>
    </row>
    <row r="25" spans="1:20" x14ac:dyDescent="0.25">
      <c r="A25" s="35">
        <v>23</v>
      </c>
      <c r="B25" s="31" t="s">
        <v>500</v>
      </c>
      <c r="C25" s="38" t="s">
        <v>123</v>
      </c>
      <c r="D25" s="37"/>
      <c r="E25" s="35"/>
      <c r="F25" s="36"/>
      <c r="G25" s="36"/>
      <c r="H25" s="37"/>
      <c r="I25" s="35"/>
      <c r="J25" s="36"/>
      <c r="K25" s="36"/>
      <c r="L25" s="37"/>
    </row>
    <row r="26" spans="1:20" x14ac:dyDescent="0.25">
      <c r="A26" s="35">
        <v>24</v>
      </c>
      <c r="B26" s="31" t="s">
        <v>500</v>
      </c>
      <c r="C26" s="38" t="s">
        <v>124</v>
      </c>
      <c r="D26" s="37"/>
      <c r="E26" s="35"/>
      <c r="F26" s="36"/>
      <c r="G26" s="36"/>
      <c r="H26" s="37"/>
      <c r="I26" s="35"/>
      <c r="J26" s="36"/>
      <c r="K26" s="36"/>
      <c r="L26" s="37"/>
    </row>
    <row r="27" spans="1:20" x14ac:dyDescent="0.25">
      <c r="A27" s="35">
        <v>25</v>
      </c>
      <c r="B27" s="31" t="s">
        <v>500</v>
      </c>
      <c r="C27" s="38" t="s">
        <v>125</v>
      </c>
      <c r="D27" s="37"/>
      <c r="E27" s="35"/>
      <c r="F27" s="36"/>
      <c r="G27" s="36"/>
      <c r="H27" s="37"/>
      <c r="I27" s="35"/>
      <c r="J27" s="36"/>
      <c r="K27" s="36"/>
      <c r="L27" s="37"/>
    </row>
    <row r="28" spans="1:20" ht="4.95" customHeight="1" x14ac:dyDescent="0.25">
      <c r="A28" s="76"/>
      <c r="B28" s="74"/>
      <c r="C28" s="74"/>
      <c r="D28" s="75"/>
      <c r="E28" s="76"/>
      <c r="F28" s="74"/>
      <c r="G28" s="74"/>
      <c r="H28" s="75"/>
      <c r="I28" s="76"/>
      <c r="J28" s="74"/>
      <c r="K28" s="74"/>
      <c r="L28" s="75"/>
      <c r="M28" s="76"/>
      <c r="N28" s="74"/>
      <c r="O28" s="74"/>
      <c r="P28" s="75"/>
      <c r="Q28" s="76"/>
      <c r="R28" s="74"/>
      <c r="S28" s="74"/>
      <c r="T28" s="75"/>
    </row>
    <row r="29" spans="1:20" x14ac:dyDescent="0.25">
      <c r="A29" s="26" t="s">
        <v>7</v>
      </c>
      <c r="B29" s="26" t="s">
        <v>0</v>
      </c>
      <c r="C29" s="26" t="s">
        <v>91</v>
      </c>
      <c r="D29" s="27" t="s">
        <v>89</v>
      </c>
      <c r="E29" s="26" t="s">
        <v>7</v>
      </c>
      <c r="F29" s="26" t="s">
        <v>0</v>
      </c>
      <c r="G29" s="26" t="s">
        <v>92</v>
      </c>
      <c r="H29" s="27" t="s">
        <v>89</v>
      </c>
      <c r="I29" s="26" t="s">
        <v>7</v>
      </c>
      <c r="J29" s="26" t="s">
        <v>0</v>
      </c>
      <c r="K29" s="26" t="s">
        <v>93</v>
      </c>
      <c r="L29" s="27" t="s">
        <v>89</v>
      </c>
      <c r="M29" s="26" t="s">
        <v>7</v>
      </c>
      <c r="N29" s="26" t="s">
        <v>0</v>
      </c>
      <c r="O29" s="26" t="s">
        <v>94</v>
      </c>
      <c r="P29" s="27" t="s">
        <v>89</v>
      </c>
      <c r="Q29" s="26" t="s">
        <v>7</v>
      </c>
      <c r="R29" s="26" t="s">
        <v>0</v>
      </c>
      <c r="S29" s="26" t="s">
        <v>95</v>
      </c>
      <c r="T29" s="27" t="s">
        <v>89</v>
      </c>
    </row>
    <row r="30" spans="1:20" x14ac:dyDescent="0.25">
      <c r="A30" s="30">
        <v>1</v>
      </c>
      <c r="B30" s="31" t="s">
        <v>518</v>
      </c>
      <c r="C30" s="31" t="s">
        <v>158</v>
      </c>
      <c r="D30" s="32" t="s">
        <v>425</v>
      </c>
      <c r="E30" s="30">
        <v>1</v>
      </c>
      <c r="F30" s="31" t="s">
        <v>519</v>
      </c>
      <c r="G30" s="31" t="s">
        <v>179</v>
      </c>
      <c r="H30" s="32" t="s">
        <v>425</v>
      </c>
      <c r="I30" s="30">
        <v>1</v>
      </c>
      <c r="J30" s="31" t="s">
        <v>520</v>
      </c>
      <c r="K30" s="31" t="s">
        <v>201</v>
      </c>
      <c r="L30" s="32" t="s">
        <v>425</v>
      </c>
      <c r="M30" s="30">
        <v>1</v>
      </c>
      <c r="N30" s="31" t="s">
        <v>521</v>
      </c>
      <c r="O30" s="31" t="s">
        <v>222</v>
      </c>
      <c r="P30" s="32" t="s">
        <v>425</v>
      </c>
      <c r="Q30" s="30">
        <v>1</v>
      </c>
      <c r="R30" s="31" t="s">
        <v>522</v>
      </c>
      <c r="S30" s="31" t="s">
        <v>245</v>
      </c>
      <c r="T30" s="32" t="s">
        <v>425</v>
      </c>
    </row>
    <row r="31" spans="1:20" x14ac:dyDescent="0.25">
      <c r="A31" s="30">
        <v>2</v>
      </c>
      <c r="B31" s="31" t="s">
        <v>518</v>
      </c>
      <c r="C31" s="31" t="s">
        <v>159</v>
      </c>
      <c r="D31" s="32" t="s">
        <v>426</v>
      </c>
      <c r="E31" s="30">
        <v>2</v>
      </c>
      <c r="F31" s="31" t="s">
        <v>519</v>
      </c>
      <c r="G31" s="31" t="s">
        <v>180</v>
      </c>
      <c r="H31" s="32" t="s">
        <v>426</v>
      </c>
      <c r="I31" s="30">
        <v>2</v>
      </c>
      <c r="J31" s="31" t="s">
        <v>520</v>
      </c>
      <c r="K31" s="31" t="s">
        <v>202</v>
      </c>
      <c r="L31" s="32" t="s">
        <v>426</v>
      </c>
      <c r="M31" s="30">
        <v>2</v>
      </c>
      <c r="N31" s="31" t="s">
        <v>521</v>
      </c>
      <c r="O31" s="31" t="s">
        <v>223</v>
      </c>
      <c r="P31" s="32" t="s">
        <v>426</v>
      </c>
      <c r="Q31" s="30">
        <v>2</v>
      </c>
      <c r="R31" s="31" t="s">
        <v>522</v>
      </c>
      <c r="S31" s="31" t="s">
        <v>246</v>
      </c>
      <c r="T31" s="32" t="s">
        <v>426</v>
      </c>
    </row>
    <row r="32" spans="1:20" x14ac:dyDescent="0.25">
      <c r="A32" s="30">
        <v>3</v>
      </c>
      <c r="B32" s="31" t="s">
        <v>518</v>
      </c>
      <c r="C32" s="31" t="s">
        <v>160</v>
      </c>
      <c r="D32" s="32" t="s">
        <v>423</v>
      </c>
      <c r="E32" s="30">
        <v>3</v>
      </c>
      <c r="F32" s="31" t="s">
        <v>519</v>
      </c>
      <c r="G32" s="31" t="s">
        <v>181</v>
      </c>
      <c r="H32" s="32" t="s">
        <v>423</v>
      </c>
      <c r="I32" s="30">
        <v>3</v>
      </c>
      <c r="J32" s="31" t="s">
        <v>520</v>
      </c>
      <c r="K32" s="31" t="s">
        <v>203</v>
      </c>
      <c r="L32" s="32" t="s">
        <v>423</v>
      </c>
      <c r="M32" s="30">
        <v>3</v>
      </c>
      <c r="N32" s="31" t="s">
        <v>521</v>
      </c>
      <c r="O32" s="31" t="s">
        <v>224</v>
      </c>
      <c r="P32" s="32" t="s">
        <v>423</v>
      </c>
      <c r="Q32" s="30">
        <v>3</v>
      </c>
      <c r="R32" s="31" t="s">
        <v>522</v>
      </c>
      <c r="S32" s="31" t="s">
        <v>247</v>
      </c>
      <c r="T32" s="32" t="s">
        <v>423</v>
      </c>
    </row>
    <row r="33" spans="1:20" x14ac:dyDescent="0.25">
      <c r="A33" s="30">
        <v>4</v>
      </c>
      <c r="B33" s="31" t="s">
        <v>518</v>
      </c>
      <c r="C33" s="31" t="s">
        <v>161</v>
      </c>
      <c r="D33" s="32" t="s">
        <v>424</v>
      </c>
      <c r="E33" s="30">
        <v>4</v>
      </c>
      <c r="F33" s="31" t="s">
        <v>519</v>
      </c>
      <c r="G33" s="31" t="s">
        <v>182</v>
      </c>
      <c r="H33" s="32" t="s">
        <v>424</v>
      </c>
      <c r="I33" s="30">
        <v>4</v>
      </c>
      <c r="J33" s="31" t="s">
        <v>520</v>
      </c>
      <c r="K33" s="31" t="s">
        <v>204</v>
      </c>
      <c r="L33" s="32" t="s">
        <v>424</v>
      </c>
      <c r="M33" s="30">
        <v>4</v>
      </c>
      <c r="N33" s="31" t="s">
        <v>521</v>
      </c>
      <c r="O33" s="31" t="s">
        <v>225</v>
      </c>
      <c r="P33" s="32" t="s">
        <v>424</v>
      </c>
      <c r="Q33" s="30">
        <v>4</v>
      </c>
      <c r="R33" s="31" t="s">
        <v>522</v>
      </c>
      <c r="S33" s="31" t="s">
        <v>248</v>
      </c>
      <c r="T33" s="32" t="s">
        <v>424</v>
      </c>
    </row>
    <row r="34" spans="1:20" x14ac:dyDescent="0.25">
      <c r="A34" s="30">
        <v>5</v>
      </c>
      <c r="B34" s="31" t="s">
        <v>518</v>
      </c>
      <c r="C34" s="31" t="s">
        <v>162</v>
      </c>
      <c r="D34" s="32" t="s">
        <v>450</v>
      </c>
      <c r="E34" s="30">
        <v>5</v>
      </c>
      <c r="F34" s="31" t="s">
        <v>519</v>
      </c>
      <c r="G34" s="31" t="s">
        <v>183</v>
      </c>
      <c r="H34" s="32"/>
      <c r="I34" s="30">
        <v>5</v>
      </c>
      <c r="J34" s="31" t="s">
        <v>520</v>
      </c>
      <c r="K34" s="31" t="s">
        <v>205</v>
      </c>
      <c r="L34" s="32"/>
      <c r="M34" s="30">
        <v>5</v>
      </c>
      <c r="N34" s="31" t="s">
        <v>521</v>
      </c>
      <c r="O34" s="31" t="s">
        <v>226</v>
      </c>
      <c r="P34" s="32"/>
      <c r="Q34" s="30">
        <v>5</v>
      </c>
      <c r="R34" s="31" t="s">
        <v>522</v>
      </c>
      <c r="S34" s="31" t="s">
        <v>249</v>
      </c>
      <c r="T34" s="32" t="s">
        <v>450</v>
      </c>
    </row>
    <row r="35" spans="1:20" x14ac:dyDescent="0.25">
      <c r="A35" s="30">
        <v>6</v>
      </c>
      <c r="B35" s="31" t="s">
        <v>518</v>
      </c>
      <c r="C35" s="31" t="s">
        <v>163</v>
      </c>
      <c r="D35" s="32"/>
      <c r="E35" s="30">
        <v>6</v>
      </c>
      <c r="F35" s="31" t="s">
        <v>519</v>
      </c>
      <c r="G35" s="31" t="s">
        <v>184</v>
      </c>
      <c r="H35" s="32"/>
      <c r="I35" s="30">
        <v>6</v>
      </c>
      <c r="J35" s="31" t="s">
        <v>520</v>
      </c>
      <c r="K35" s="31" t="s">
        <v>206</v>
      </c>
      <c r="L35" s="32"/>
      <c r="M35" s="30">
        <v>6</v>
      </c>
      <c r="N35" s="31" t="s">
        <v>521</v>
      </c>
      <c r="O35" s="31" t="s">
        <v>227</v>
      </c>
      <c r="P35" s="32"/>
      <c r="Q35" s="30">
        <v>6</v>
      </c>
      <c r="R35" s="31" t="s">
        <v>522</v>
      </c>
      <c r="S35" s="31" t="s">
        <v>250</v>
      </c>
      <c r="T35" s="32"/>
    </row>
    <row r="36" spans="1:20" x14ac:dyDescent="0.25">
      <c r="A36" s="30">
        <v>7</v>
      </c>
      <c r="B36" s="31" t="s">
        <v>518</v>
      </c>
      <c r="C36" s="31" t="s">
        <v>164</v>
      </c>
      <c r="D36" s="32"/>
      <c r="E36" s="30">
        <v>7</v>
      </c>
      <c r="F36" s="31" t="s">
        <v>519</v>
      </c>
      <c r="G36" s="31" t="s">
        <v>185</v>
      </c>
      <c r="H36" s="32"/>
      <c r="I36" s="30">
        <v>7</v>
      </c>
      <c r="J36" s="31" t="s">
        <v>520</v>
      </c>
      <c r="K36" s="31" t="s">
        <v>207</v>
      </c>
      <c r="L36" s="32"/>
      <c r="M36" s="30">
        <v>7</v>
      </c>
      <c r="N36" s="31" t="s">
        <v>521</v>
      </c>
      <c r="O36" s="31" t="s">
        <v>228</v>
      </c>
      <c r="P36" s="32"/>
      <c r="Q36" s="30">
        <v>7</v>
      </c>
      <c r="R36" s="31" t="s">
        <v>522</v>
      </c>
      <c r="S36" s="31" t="s">
        <v>251</v>
      </c>
      <c r="T36" s="32"/>
    </row>
    <row r="37" spans="1:20" x14ac:dyDescent="0.25">
      <c r="A37" s="30">
        <v>8</v>
      </c>
      <c r="B37" s="31" t="s">
        <v>518</v>
      </c>
      <c r="C37" s="31" t="s">
        <v>165</v>
      </c>
      <c r="D37" s="32"/>
      <c r="E37" s="30">
        <v>8</v>
      </c>
      <c r="F37" s="31" t="s">
        <v>519</v>
      </c>
      <c r="G37" s="31" t="s">
        <v>186</v>
      </c>
      <c r="H37" s="32"/>
      <c r="I37" s="30">
        <v>8</v>
      </c>
      <c r="J37" s="31" t="s">
        <v>520</v>
      </c>
      <c r="K37" s="31" t="s">
        <v>208</v>
      </c>
      <c r="L37" s="32"/>
      <c r="M37" s="30">
        <v>8</v>
      </c>
      <c r="N37" s="31" t="s">
        <v>521</v>
      </c>
      <c r="O37" s="31" t="s">
        <v>229</v>
      </c>
      <c r="P37" s="32"/>
      <c r="Q37" s="30">
        <v>8</v>
      </c>
      <c r="R37" s="31" t="s">
        <v>522</v>
      </c>
      <c r="S37" s="31" t="s">
        <v>252</v>
      </c>
      <c r="T37" s="32"/>
    </row>
    <row r="38" spans="1:20" x14ac:dyDescent="0.25">
      <c r="A38" s="30">
        <v>9</v>
      </c>
      <c r="B38" s="31" t="s">
        <v>518</v>
      </c>
      <c r="C38" s="31" t="s">
        <v>166</v>
      </c>
      <c r="D38" s="32"/>
      <c r="E38" s="30">
        <v>9</v>
      </c>
      <c r="F38" s="31" t="s">
        <v>519</v>
      </c>
      <c r="G38" s="31" t="s">
        <v>187</v>
      </c>
      <c r="H38" s="32"/>
      <c r="I38" s="30">
        <v>9</v>
      </c>
      <c r="J38" s="31" t="s">
        <v>520</v>
      </c>
      <c r="K38" s="31" t="s">
        <v>209</v>
      </c>
      <c r="L38" s="32"/>
      <c r="M38" s="30">
        <v>9</v>
      </c>
      <c r="N38" s="31" t="s">
        <v>521</v>
      </c>
      <c r="O38" s="31" t="s">
        <v>230</v>
      </c>
      <c r="P38" s="32"/>
      <c r="Q38" s="30">
        <v>9</v>
      </c>
      <c r="R38" s="31" t="s">
        <v>522</v>
      </c>
      <c r="S38" s="31" t="s">
        <v>253</v>
      </c>
      <c r="T38" s="32"/>
    </row>
    <row r="39" spans="1:20" x14ac:dyDescent="0.25">
      <c r="A39" s="30">
        <v>10</v>
      </c>
      <c r="B39" s="31" t="s">
        <v>518</v>
      </c>
      <c r="C39" s="31" t="s">
        <v>167</v>
      </c>
      <c r="D39" s="32"/>
      <c r="E39" s="30">
        <v>10</v>
      </c>
      <c r="F39" s="31" t="s">
        <v>519</v>
      </c>
      <c r="G39" s="31" t="s">
        <v>188</v>
      </c>
      <c r="H39" s="32" t="s">
        <v>450</v>
      </c>
      <c r="I39" s="30">
        <v>10</v>
      </c>
      <c r="J39" s="31" t="s">
        <v>520</v>
      </c>
      <c r="K39" s="31" t="s">
        <v>210</v>
      </c>
      <c r="L39" s="32"/>
      <c r="M39" s="30">
        <v>10</v>
      </c>
      <c r="N39" s="31" t="s">
        <v>521</v>
      </c>
      <c r="O39" s="31" t="s">
        <v>231</v>
      </c>
      <c r="P39" s="32"/>
      <c r="Q39" s="30">
        <v>10</v>
      </c>
      <c r="R39" s="31" t="s">
        <v>522</v>
      </c>
      <c r="S39" s="31" t="s">
        <v>254</v>
      </c>
      <c r="T39" s="32"/>
    </row>
    <row r="40" spans="1:20" x14ac:dyDescent="0.25">
      <c r="A40" s="30">
        <v>11</v>
      </c>
      <c r="B40" s="31" t="s">
        <v>518</v>
      </c>
      <c r="C40" s="31" t="s">
        <v>168</v>
      </c>
      <c r="D40" s="32"/>
      <c r="E40" s="30">
        <v>11</v>
      </c>
      <c r="F40" s="31" t="s">
        <v>519</v>
      </c>
      <c r="G40" s="31" t="s">
        <v>189</v>
      </c>
      <c r="H40" s="32"/>
      <c r="I40" s="30">
        <v>11</v>
      </c>
      <c r="J40" s="31" t="s">
        <v>520</v>
      </c>
      <c r="K40" s="31" t="s">
        <v>211</v>
      </c>
      <c r="L40" s="32"/>
      <c r="M40" s="30">
        <v>11</v>
      </c>
      <c r="N40" s="31" t="s">
        <v>521</v>
      </c>
      <c r="O40" s="31" t="s">
        <v>232</v>
      </c>
      <c r="P40" s="32"/>
      <c r="Q40" s="30">
        <v>11</v>
      </c>
      <c r="R40" s="31" t="s">
        <v>522</v>
      </c>
      <c r="S40" s="31" t="s">
        <v>255</v>
      </c>
      <c r="T40" s="32"/>
    </row>
    <row r="41" spans="1:20" x14ac:dyDescent="0.25">
      <c r="A41" s="30">
        <v>12</v>
      </c>
      <c r="B41" s="31" t="s">
        <v>518</v>
      </c>
      <c r="C41" s="31" t="s">
        <v>169</v>
      </c>
      <c r="D41" s="32"/>
      <c r="E41" s="30">
        <v>12</v>
      </c>
      <c r="F41" s="31" t="s">
        <v>519</v>
      </c>
      <c r="G41" s="31" t="s">
        <v>190</v>
      </c>
      <c r="H41" s="32"/>
      <c r="I41" s="30">
        <v>12</v>
      </c>
      <c r="J41" s="31" t="s">
        <v>520</v>
      </c>
      <c r="K41" s="34" t="s">
        <v>212</v>
      </c>
      <c r="L41" s="32"/>
      <c r="M41" s="30">
        <v>12</v>
      </c>
      <c r="N41" s="31" t="s">
        <v>521</v>
      </c>
      <c r="O41" s="31" t="s">
        <v>233</v>
      </c>
      <c r="P41" s="32"/>
      <c r="Q41" s="30">
        <v>12</v>
      </c>
      <c r="R41" s="31" t="s">
        <v>522</v>
      </c>
      <c r="S41" s="31" t="s">
        <v>256</v>
      </c>
      <c r="T41" s="32"/>
    </row>
    <row r="42" spans="1:20" x14ac:dyDescent="0.25">
      <c r="A42" s="30">
        <v>13</v>
      </c>
      <c r="B42" s="31" t="s">
        <v>518</v>
      </c>
      <c r="C42" s="31" t="s">
        <v>170</v>
      </c>
      <c r="D42" s="32"/>
      <c r="E42" s="30">
        <v>13</v>
      </c>
      <c r="F42" s="31" t="s">
        <v>519</v>
      </c>
      <c r="G42" s="31" t="s">
        <v>191</v>
      </c>
      <c r="H42" s="32"/>
      <c r="I42" s="30">
        <v>13</v>
      </c>
      <c r="J42" s="31" t="s">
        <v>520</v>
      </c>
      <c r="K42" s="31" t="s">
        <v>213</v>
      </c>
      <c r="L42" s="32" t="s">
        <v>450</v>
      </c>
      <c r="M42" s="30">
        <v>13</v>
      </c>
      <c r="N42" s="31" t="s">
        <v>521</v>
      </c>
      <c r="O42" s="31" t="s">
        <v>234</v>
      </c>
      <c r="P42" s="32"/>
      <c r="Q42" s="30">
        <v>13</v>
      </c>
      <c r="R42" s="31" t="s">
        <v>522</v>
      </c>
      <c r="S42" s="31" t="s">
        <v>257</v>
      </c>
      <c r="T42" s="32"/>
    </row>
    <row r="43" spans="1:20" x14ac:dyDescent="0.25">
      <c r="A43" s="30">
        <v>14</v>
      </c>
      <c r="B43" s="31" t="s">
        <v>518</v>
      </c>
      <c r="C43" s="31" t="s">
        <v>171</v>
      </c>
      <c r="D43" s="32"/>
      <c r="E43" s="30">
        <v>14</v>
      </c>
      <c r="F43" s="31" t="s">
        <v>519</v>
      </c>
      <c r="G43" s="31" t="s">
        <v>192</v>
      </c>
      <c r="H43" s="32"/>
      <c r="I43" s="30">
        <v>14</v>
      </c>
      <c r="J43" s="31" t="s">
        <v>520</v>
      </c>
      <c r="K43" s="31" t="s">
        <v>214</v>
      </c>
      <c r="L43" s="32"/>
      <c r="M43" s="30">
        <v>14</v>
      </c>
      <c r="N43" s="31" t="s">
        <v>521</v>
      </c>
      <c r="O43" s="31" t="s">
        <v>235</v>
      </c>
      <c r="P43" s="32"/>
      <c r="Q43" s="30">
        <v>14</v>
      </c>
      <c r="R43" s="31" t="s">
        <v>522</v>
      </c>
      <c r="S43" s="31" t="s">
        <v>258</v>
      </c>
      <c r="T43" s="32"/>
    </row>
    <row r="44" spans="1:20" x14ac:dyDescent="0.25">
      <c r="A44" s="30">
        <v>15</v>
      </c>
      <c r="B44" s="31" t="s">
        <v>518</v>
      </c>
      <c r="C44" s="31" t="s">
        <v>172</v>
      </c>
      <c r="D44" s="32"/>
      <c r="E44" s="30">
        <v>15</v>
      </c>
      <c r="F44" s="31" t="s">
        <v>519</v>
      </c>
      <c r="G44" s="31" t="s">
        <v>193</v>
      </c>
      <c r="H44" s="32"/>
      <c r="I44" s="30">
        <v>15</v>
      </c>
      <c r="J44" s="31" t="s">
        <v>520</v>
      </c>
      <c r="K44" s="31" t="s">
        <v>215</v>
      </c>
      <c r="L44" s="32"/>
      <c r="M44" s="30">
        <v>15</v>
      </c>
      <c r="N44" s="31" t="s">
        <v>521</v>
      </c>
      <c r="O44" s="31" t="s">
        <v>236</v>
      </c>
      <c r="P44" s="32" t="s">
        <v>450</v>
      </c>
      <c r="Q44" s="30">
        <v>15</v>
      </c>
      <c r="R44" s="31" t="s">
        <v>522</v>
      </c>
      <c r="S44" s="31" t="s">
        <v>259</v>
      </c>
      <c r="T44" s="32"/>
    </row>
    <row r="45" spans="1:20" x14ac:dyDescent="0.25">
      <c r="A45" s="30">
        <v>16</v>
      </c>
      <c r="B45" s="31" t="s">
        <v>518</v>
      </c>
      <c r="C45" s="31" t="s">
        <v>173</v>
      </c>
      <c r="D45" s="32"/>
      <c r="E45" s="30">
        <v>16</v>
      </c>
      <c r="F45" s="31" t="s">
        <v>519</v>
      </c>
      <c r="G45" s="31" t="s">
        <v>194</v>
      </c>
      <c r="H45" s="32"/>
      <c r="I45" s="30">
        <v>16</v>
      </c>
      <c r="J45" s="31" t="s">
        <v>520</v>
      </c>
      <c r="K45" s="31" t="s">
        <v>216</v>
      </c>
      <c r="L45" s="32"/>
      <c r="M45" s="30">
        <v>16</v>
      </c>
      <c r="N45" s="31" t="s">
        <v>521</v>
      </c>
      <c r="O45" s="31" t="s">
        <v>237</v>
      </c>
      <c r="P45" s="32"/>
      <c r="Q45" s="30">
        <v>16</v>
      </c>
      <c r="R45" s="31" t="s">
        <v>522</v>
      </c>
      <c r="S45" s="31" t="s">
        <v>260</v>
      </c>
      <c r="T45" s="32"/>
    </row>
    <row r="46" spans="1:20" x14ac:dyDescent="0.25">
      <c r="A46" s="30">
        <v>17</v>
      </c>
      <c r="B46" s="31" t="s">
        <v>518</v>
      </c>
      <c r="C46" s="31" t="s">
        <v>174</v>
      </c>
      <c r="D46" s="39"/>
      <c r="E46" s="30">
        <v>17</v>
      </c>
      <c r="F46" s="31" t="s">
        <v>519</v>
      </c>
      <c r="G46" s="31" t="s">
        <v>195</v>
      </c>
      <c r="H46" s="39"/>
      <c r="I46" s="30">
        <v>17</v>
      </c>
      <c r="J46" s="31" t="s">
        <v>520</v>
      </c>
      <c r="K46" s="31" t="s">
        <v>217</v>
      </c>
      <c r="L46" s="39"/>
      <c r="M46" s="30">
        <v>17</v>
      </c>
      <c r="N46" s="31" t="s">
        <v>521</v>
      </c>
      <c r="O46" s="31" t="s">
        <v>238</v>
      </c>
      <c r="P46" s="39"/>
      <c r="Q46" s="30">
        <v>17</v>
      </c>
      <c r="R46" s="31" t="s">
        <v>522</v>
      </c>
      <c r="S46" s="31" t="s">
        <v>261</v>
      </c>
      <c r="T46" s="39"/>
    </row>
    <row r="47" spans="1:20" x14ac:dyDescent="0.25">
      <c r="A47" s="30">
        <v>18</v>
      </c>
      <c r="B47" s="31" t="s">
        <v>518</v>
      </c>
      <c r="C47" s="31" t="s">
        <v>175</v>
      </c>
      <c r="D47" s="32"/>
      <c r="E47" s="30">
        <v>18</v>
      </c>
      <c r="F47" s="31" t="s">
        <v>519</v>
      </c>
      <c r="G47" s="31" t="s">
        <v>196</v>
      </c>
      <c r="H47" s="32"/>
      <c r="I47" s="30">
        <v>18</v>
      </c>
      <c r="J47" s="31" t="s">
        <v>520</v>
      </c>
      <c r="K47" s="31" t="s">
        <v>218</v>
      </c>
      <c r="L47" s="32"/>
      <c r="M47" s="30">
        <v>18</v>
      </c>
      <c r="N47" s="31" t="s">
        <v>521</v>
      </c>
      <c r="O47" s="31" t="s">
        <v>239</v>
      </c>
      <c r="P47" s="32"/>
      <c r="Q47" s="30">
        <v>18</v>
      </c>
      <c r="R47" s="31" t="s">
        <v>522</v>
      </c>
      <c r="S47" s="31" t="s">
        <v>262</v>
      </c>
      <c r="T47" s="32"/>
    </row>
    <row r="48" spans="1:20" x14ac:dyDescent="0.25">
      <c r="A48" s="30">
        <v>19</v>
      </c>
      <c r="B48" s="31" t="s">
        <v>518</v>
      </c>
      <c r="C48" s="31" t="s">
        <v>176</v>
      </c>
      <c r="D48" s="32"/>
      <c r="E48" s="30">
        <v>19</v>
      </c>
      <c r="F48" s="31" t="s">
        <v>519</v>
      </c>
      <c r="G48" s="31" t="s">
        <v>197</v>
      </c>
      <c r="H48" s="32"/>
      <c r="I48" s="30">
        <v>19</v>
      </c>
      <c r="J48" s="31" t="s">
        <v>520</v>
      </c>
      <c r="K48" s="31" t="s">
        <v>219</v>
      </c>
      <c r="L48" s="32"/>
      <c r="M48" s="30">
        <v>19</v>
      </c>
      <c r="N48" s="31" t="s">
        <v>521</v>
      </c>
      <c r="O48" s="31" t="s">
        <v>240</v>
      </c>
      <c r="P48" s="32"/>
      <c r="Q48" s="30">
        <v>19</v>
      </c>
      <c r="R48" s="31" t="s">
        <v>522</v>
      </c>
      <c r="S48" s="31" t="s">
        <v>263</v>
      </c>
      <c r="T48" s="32"/>
    </row>
    <row r="49" spans="1:20" x14ac:dyDescent="0.25">
      <c r="A49" s="30">
        <v>20</v>
      </c>
      <c r="B49" s="31" t="s">
        <v>518</v>
      </c>
      <c r="C49" s="31" t="s">
        <v>177</v>
      </c>
      <c r="D49" s="32"/>
      <c r="E49" s="30">
        <v>20</v>
      </c>
      <c r="F49" s="31" t="s">
        <v>519</v>
      </c>
      <c r="G49" s="31" t="s">
        <v>198</v>
      </c>
      <c r="H49" s="32"/>
      <c r="I49" s="30">
        <v>20</v>
      </c>
      <c r="J49" s="31" t="s">
        <v>520</v>
      </c>
      <c r="K49" s="31" t="s">
        <v>220</v>
      </c>
      <c r="L49" s="32"/>
      <c r="M49" s="30">
        <v>20</v>
      </c>
      <c r="N49" s="31" t="s">
        <v>521</v>
      </c>
      <c r="O49" s="31" t="s">
        <v>241</v>
      </c>
      <c r="P49" s="32"/>
      <c r="Q49" s="30">
        <v>20</v>
      </c>
      <c r="R49" s="31" t="s">
        <v>522</v>
      </c>
      <c r="S49" s="31" t="s">
        <v>264</v>
      </c>
      <c r="T49" s="32"/>
    </row>
    <row r="50" spans="1:20" x14ac:dyDescent="0.25">
      <c r="A50" s="30">
        <v>21</v>
      </c>
      <c r="B50" s="31" t="s">
        <v>518</v>
      </c>
      <c r="C50" s="31" t="s">
        <v>178</v>
      </c>
      <c r="D50" s="32"/>
      <c r="E50" s="30">
        <v>21</v>
      </c>
      <c r="F50" s="31" t="s">
        <v>519</v>
      </c>
      <c r="G50" s="31" t="s">
        <v>199</v>
      </c>
      <c r="H50" s="32"/>
      <c r="I50" s="30">
        <v>21</v>
      </c>
      <c r="J50" s="31" t="s">
        <v>520</v>
      </c>
      <c r="K50" s="31" t="s">
        <v>221</v>
      </c>
      <c r="L50" s="32"/>
      <c r="M50" s="30">
        <v>21</v>
      </c>
      <c r="N50" s="31" t="s">
        <v>521</v>
      </c>
      <c r="O50" s="31" t="s">
        <v>242</v>
      </c>
      <c r="P50" s="32"/>
      <c r="Q50" s="30">
        <v>21</v>
      </c>
      <c r="R50" s="31" t="s">
        <v>522</v>
      </c>
      <c r="S50" s="31" t="s">
        <v>265</v>
      </c>
      <c r="T50" s="32"/>
    </row>
    <row r="51" spans="1:20" ht="4.95" customHeight="1" x14ac:dyDescent="0.25">
      <c r="A51" s="76"/>
      <c r="B51" s="74"/>
      <c r="C51" s="74"/>
      <c r="D51" s="75"/>
      <c r="E51" s="76"/>
      <c r="F51" s="74"/>
      <c r="G51" s="74"/>
      <c r="H51" s="75"/>
      <c r="I51" s="76"/>
      <c r="J51" s="74"/>
      <c r="K51" s="74"/>
      <c r="L51" s="75"/>
      <c r="M51" s="76"/>
      <c r="N51" s="74"/>
      <c r="O51" s="74"/>
      <c r="P51" s="75"/>
      <c r="Q51" s="76"/>
      <c r="R51" s="74"/>
      <c r="S51" s="74"/>
      <c r="T51" s="75"/>
    </row>
    <row r="52" spans="1:20" x14ac:dyDescent="0.25">
      <c r="A52" s="26" t="s">
        <v>7</v>
      </c>
      <c r="B52" s="26" t="s">
        <v>0</v>
      </c>
      <c r="C52" s="26" t="s">
        <v>95</v>
      </c>
      <c r="D52" s="27" t="s">
        <v>89</v>
      </c>
      <c r="E52" s="26" t="s">
        <v>7</v>
      </c>
      <c r="F52" s="26" t="s">
        <v>0</v>
      </c>
      <c r="G52" s="26" t="s">
        <v>92</v>
      </c>
      <c r="H52" s="27" t="s">
        <v>89</v>
      </c>
      <c r="I52" s="26" t="s">
        <v>7</v>
      </c>
      <c r="J52" s="26" t="s">
        <v>0</v>
      </c>
      <c r="K52" s="26" t="s">
        <v>93</v>
      </c>
      <c r="L52" s="27" t="s">
        <v>89</v>
      </c>
      <c r="M52" s="26" t="s">
        <v>7</v>
      </c>
      <c r="N52" s="26" t="s">
        <v>0</v>
      </c>
      <c r="O52" s="26" t="s">
        <v>94</v>
      </c>
      <c r="P52" s="27" t="s">
        <v>89</v>
      </c>
      <c r="Q52" s="26" t="s">
        <v>7</v>
      </c>
      <c r="R52" s="26" t="s">
        <v>0</v>
      </c>
      <c r="S52" s="26" t="s">
        <v>91</v>
      </c>
      <c r="T52" s="27" t="s">
        <v>89</v>
      </c>
    </row>
    <row r="53" spans="1:20" x14ac:dyDescent="0.25">
      <c r="A53" s="30">
        <v>1</v>
      </c>
      <c r="B53" s="31" t="s">
        <v>523</v>
      </c>
      <c r="C53" s="31" t="s">
        <v>266</v>
      </c>
      <c r="D53" s="32" t="s">
        <v>425</v>
      </c>
      <c r="E53" s="30">
        <v>1</v>
      </c>
      <c r="F53" s="31" t="s">
        <v>524</v>
      </c>
      <c r="G53" s="31" t="s">
        <v>296</v>
      </c>
      <c r="H53" s="32" t="s">
        <v>425</v>
      </c>
      <c r="I53" s="30">
        <v>1</v>
      </c>
      <c r="J53" s="31" t="s">
        <v>525</v>
      </c>
      <c r="K53" s="31" t="s">
        <v>326</v>
      </c>
      <c r="L53" s="32" t="s">
        <v>425</v>
      </c>
      <c r="M53" s="30">
        <v>1</v>
      </c>
      <c r="N53" s="31" t="s">
        <v>526</v>
      </c>
      <c r="O53" s="31" t="s">
        <v>356</v>
      </c>
      <c r="P53" s="32" t="s">
        <v>425</v>
      </c>
      <c r="Q53" s="30">
        <v>1</v>
      </c>
      <c r="R53" s="31" t="s">
        <v>527</v>
      </c>
      <c r="S53" s="34" t="s">
        <v>385</v>
      </c>
      <c r="T53" s="32" t="s">
        <v>425</v>
      </c>
    </row>
    <row r="54" spans="1:20" x14ac:dyDescent="0.25">
      <c r="A54" s="30">
        <v>2</v>
      </c>
      <c r="B54" s="31" t="s">
        <v>523</v>
      </c>
      <c r="C54" s="31" t="s">
        <v>267</v>
      </c>
      <c r="D54" s="32" t="s">
        <v>426</v>
      </c>
      <c r="E54" s="30">
        <v>2</v>
      </c>
      <c r="F54" s="31" t="s">
        <v>524</v>
      </c>
      <c r="G54" s="31" t="s">
        <v>297</v>
      </c>
      <c r="H54" s="32" t="s">
        <v>426</v>
      </c>
      <c r="I54" s="30">
        <v>2</v>
      </c>
      <c r="J54" s="31" t="s">
        <v>525</v>
      </c>
      <c r="K54" s="31" t="s">
        <v>327</v>
      </c>
      <c r="L54" s="32" t="s">
        <v>426</v>
      </c>
      <c r="M54" s="30">
        <v>2</v>
      </c>
      <c r="N54" s="31" t="s">
        <v>526</v>
      </c>
      <c r="O54" s="31" t="s">
        <v>357</v>
      </c>
      <c r="P54" s="32" t="s">
        <v>426</v>
      </c>
      <c r="Q54" s="30">
        <v>2</v>
      </c>
      <c r="R54" s="31" t="s">
        <v>527</v>
      </c>
      <c r="S54" s="31" t="s">
        <v>386</v>
      </c>
      <c r="T54" s="32" t="s">
        <v>426</v>
      </c>
    </row>
    <row r="55" spans="1:20" x14ac:dyDescent="0.25">
      <c r="A55" s="30">
        <v>3</v>
      </c>
      <c r="B55" s="31" t="s">
        <v>523</v>
      </c>
      <c r="C55" s="31" t="s">
        <v>268</v>
      </c>
      <c r="D55" s="32" t="s">
        <v>423</v>
      </c>
      <c r="E55" s="30">
        <v>3</v>
      </c>
      <c r="F55" s="31" t="s">
        <v>524</v>
      </c>
      <c r="G55" s="31" t="s">
        <v>298</v>
      </c>
      <c r="H55" s="32" t="s">
        <v>423</v>
      </c>
      <c r="I55" s="30">
        <v>3</v>
      </c>
      <c r="J55" s="31" t="s">
        <v>525</v>
      </c>
      <c r="K55" s="31" t="s">
        <v>328</v>
      </c>
      <c r="L55" s="32" t="s">
        <v>423</v>
      </c>
      <c r="M55" s="30">
        <v>3</v>
      </c>
      <c r="N55" s="31" t="s">
        <v>526</v>
      </c>
      <c r="O55" s="31" t="s">
        <v>358</v>
      </c>
      <c r="P55" s="32" t="s">
        <v>423</v>
      </c>
      <c r="Q55" s="30">
        <v>3</v>
      </c>
      <c r="R55" s="31" t="s">
        <v>527</v>
      </c>
      <c r="S55" s="31" t="s">
        <v>387</v>
      </c>
      <c r="T55" s="32" t="s">
        <v>423</v>
      </c>
    </row>
    <row r="56" spans="1:20" x14ac:dyDescent="0.25">
      <c r="A56" s="30">
        <v>4</v>
      </c>
      <c r="B56" s="31" t="s">
        <v>523</v>
      </c>
      <c r="C56" s="31" t="s">
        <v>269</v>
      </c>
      <c r="D56" s="32" t="s">
        <v>424</v>
      </c>
      <c r="E56" s="30">
        <v>4</v>
      </c>
      <c r="F56" s="31" t="s">
        <v>524</v>
      </c>
      <c r="G56" s="31" t="s">
        <v>299</v>
      </c>
      <c r="H56" s="32" t="s">
        <v>424</v>
      </c>
      <c r="I56" s="30">
        <v>4</v>
      </c>
      <c r="J56" s="31" t="s">
        <v>525</v>
      </c>
      <c r="K56" s="31" t="s">
        <v>329</v>
      </c>
      <c r="L56" s="32" t="s">
        <v>424</v>
      </c>
      <c r="M56" s="30">
        <v>4</v>
      </c>
      <c r="N56" s="31" t="s">
        <v>526</v>
      </c>
      <c r="O56" s="31" t="s">
        <v>359</v>
      </c>
      <c r="P56" s="32" t="s">
        <v>424</v>
      </c>
      <c r="Q56" s="30">
        <v>4</v>
      </c>
      <c r="R56" s="31" t="s">
        <v>527</v>
      </c>
      <c r="S56" s="31" t="s">
        <v>388</v>
      </c>
      <c r="T56" s="32" t="s">
        <v>424</v>
      </c>
    </row>
    <row r="57" spans="1:20" x14ac:dyDescent="0.25">
      <c r="A57" s="30">
        <v>5</v>
      </c>
      <c r="B57" s="31" t="s">
        <v>523</v>
      </c>
      <c r="C57" s="31" t="s">
        <v>270</v>
      </c>
      <c r="D57" s="32"/>
      <c r="E57" s="30">
        <v>5</v>
      </c>
      <c r="F57" s="31" t="s">
        <v>524</v>
      </c>
      <c r="G57" s="31" t="s">
        <v>300</v>
      </c>
      <c r="H57" s="32"/>
      <c r="I57" s="30">
        <v>5</v>
      </c>
      <c r="J57" s="31" t="s">
        <v>525</v>
      </c>
      <c r="K57" s="31" t="s">
        <v>330</v>
      </c>
      <c r="L57" s="32"/>
      <c r="M57" s="30">
        <v>5</v>
      </c>
      <c r="N57" s="31" t="s">
        <v>526</v>
      </c>
      <c r="O57" s="31" t="s">
        <v>360</v>
      </c>
      <c r="P57" s="32"/>
      <c r="Q57" s="30">
        <v>5</v>
      </c>
      <c r="R57" s="31" t="s">
        <v>527</v>
      </c>
      <c r="S57" s="31" t="s">
        <v>389</v>
      </c>
      <c r="T57" s="32"/>
    </row>
    <row r="58" spans="1:20" x14ac:dyDescent="0.25">
      <c r="A58" s="30">
        <v>6</v>
      </c>
      <c r="B58" s="31" t="s">
        <v>523</v>
      </c>
      <c r="C58" s="31" t="s">
        <v>271</v>
      </c>
      <c r="D58" s="32"/>
      <c r="E58" s="30">
        <v>6</v>
      </c>
      <c r="F58" s="31" t="s">
        <v>524</v>
      </c>
      <c r="G58" s="31" t="s">
        <v>301</v>
      </c>
      <c r="H58" s="32"/>
      <c r="I58" s="30">
        <v>6</v>
      </c>
      <c r="J58" s="31" t="s">
        <v>525</v>
      </c>
      <c r="K58" s="34" t="s">
        <v>331</v>
      </c>
      <c r="L58" s="32" t="s">
        <v>450</v>
      </c>
      <c r="M58" s="30">
        <v>6</v>
      </c>
      <c r="N58" s="31" t="s">
        <v>526</v>
      </c>
      <c r="O58" s="31" t="s">
        <v>361</v>
      </c>
      <c r="P58" s="32" t="s">
        <v>450</v>
      </c>
      <c r="Q58" s="30">
        <v>6</v>
      </c>
      <c r="R58" s="31" t="s">
        <v>527</v>
      </c>
      <c r="S58" s="31" t="s">
        <v>390</v>
      </c>
      <c r="T58" s="32"/>
    </row>
    <row r="59" spans="1:20" x14ac:dyDescent="0.25">
      <c r="A59" s="30">
        <v>7</v>
      </c>
      <c r="B59" s="31" t="s">
        <v>523</v>
      </c>
      <c r="C59" s="31" t="s">
        <v>272</v>
      </c>
      <c r="D59" s="32"/>
      <c r="E59" s="30">
        <v>7</v>
      </c>
      <c r="F59" s="31" t="s">
        <v>524</v>
      </c>
      <c r="G59" s="31" t="s">
        <v>302</v>
      </c>
      <c r="H59" s="32"/>
      <c r="I59" s="30">
        <v>7</v>
      </c>
      <c r="J59" s="31" t="s">
        <v>525</v>
      </c>
      <c r="K59" s="31" t="s">
        <v>332</v>
      </c>
      <c r="L59" s="32"/>
      <c r="M59" s="30">
        <v>7</v>
      </c>
      <c r="N59" s="31" t="s">
        <v>526</v>
      </c>
      <c r="O59" s="31" t="s">
        <v>362</v>
      </c>
      <c r="P59" s="32"/>
      <c r="Q59" s="30">
        <v>7</v>
      </c>
      <c r="R59" s="31" t="s">
        <v>527</v>
      </c>
      <c r="S59" s="31" t="s">
        <v>391</v>
      </c>
      <c r="T59" s="32"/>
    </row>
    <row r="60" spans="1:20" x14ac:dyDescent="0.25">
      <c r="A60" s="30">
        <v>8</v>
      </c>
      <c r="B60" s="31" t="s">
        <v>523</v>
      </c>
      <c r="C60" s="31" t="s">
        <v>273</v>
      </c>
      <c r="D60" s="32"/>
      <c r="E60" s="30">
        <v>8</v>
      </c>
      <c r="F60" s="31" t="s">
        <v>524</v>
      </c>
      <c r="G60" s="31" t="s">
        <v>303</v>
      </c>
      <c r="H60" s="32" t="s">
        <v>450</v>
      </c>
      <c r="I60" s="30">
        <v>8</v>
      </c>
      <c r="J60" s="31" t="s">
        <v>525</v>
      </c>
      <c r="K60" s="31" t="s">
        <v>333</v>
      </c>
      <c r="L60" s="32"/>
      <c r="M60" s="30">
        <v>8</v>
      </c>
      <c r="N60" s="31" t="s">
        <v>526</v>
      </c>
      <c r="O60" s="31" t="s">
        <v>363</v>
      </c>
      <c r="P60" s="32"/>
      <c r="Q60" s="30">
        <v>8</v>
      </c>
      <c r="R60" s="31" t="s">
        <v>527</v>
      </c>
      <c r="S60" s="31" t="s">
        <v>392</v>
      </c>
      <c r="T60" s="32" t="s">
        <v>450</v>
      </c>
    </row>
    <row r="61" spans="1:20" x14ac:dyDescent="0.25">
      <c r="A61" s="30">
        <v>9</v>
      </c>
      <c r="B61" s="31" t="s">
        <v>523</v>
      </c>
      <c r="C61" s="31" t="s">
        <v>274</v>
      </c>
      <c r="D61" s="32" t="s">
        <v>450</v>
      </c>
      <c r="E61" s="30">
        <v>9</v>
      </c>
      <c r="F61" s="31" t="s">
        <v>524</v>
      </c>
      <c r="G61" s="31" t="s">
        <v>304</v>
      </c>
      <c r="H61" s="32"/>
      <c r="I61" s="30">
        <v>9</v>
      </c>
      <c r="J61" s="31" t="s">
        <v>525</v>
      </c>
      <c r="K61" s="31" t="s">
        <v>334</v>
      </c>
      <c r="L61" s="32"/>
      <c r="M61" s="30">
        <v>9</v>
      </c>
      <c r="N61" s="31" t="s">
        <v>526</v>
      </c>
      <c r="O61" s="31" t="s">
        <v>364</v>
      </c>
      <c r="P61" s="32"/>
      <c r="Q61" s="30">
        <v>9</v>
      </c>
      <c r="R61" s="31" t="s">
        <v>527</v>
      </c>
      <c r="S61" s="31" t="s">
        <v>393</v>
      </c>
      <c r="T61" s="32"/>
    </row>
    <row r="62" spans="1:20" x14ac:dyDescent="0.25">
      <c r="A62" s="30">
        <v>10</v>
      </c>
      <c r="B62" s="31" t="s">
        <v>523</v>
      </c>
      <c r="C62" s="31" t="s">
        <v>275</v>
      </c>
      <c r="D62" s="32"/>
      <c r="E62" s="30">
        <v>10</v>
      </c>
      <c r="F62" s="31" t="s">
        <v>524</v>
      </c>
      <c r="G62" s="31" t="s">
        <v>305</v>
      </c>
      <c r="H62" s="32"/>
      <c r="I62" s="30">
        <v>10</v>
      </c>
      <c r="J62" s="31" t="s">
        <v>525</v>
      </c>
      <c r="K62" s="31" t="s">
        <v>335</v>
      </c>
      <c r="L62" s="32"/>
      <c r="M62" s="30">
        <v>10</v>
      </c>
      <c r="N62" s="31" t="s">
        <v>526</v>
      </c>
      <c r="O62" s="31" t="s">
        <v>365</v>
      </c>
      <c r="P62" s="32"/>
      <c r="Q62" s="30">
        <v>10</v>
      </c>
      <c r="R62" s="31" t="s">
        <v>527</v>
      </c>
      <c r="S62" s="31" t="s">
        <v>394</v>
      </c>
      <c r="T62" s="32"/>
    </row>
    <row r="63" spans="1:20" x14ac:dyDescent="0.25">
      <c r="A63" s="30">
        <v>11</v>
      </c>
      <c r="B63" s="31" t="s">
        <v>523</v>
      </c>
      <c r="C63" s="31" t="s">
        <v>276</v>
      </c>
      <c r="D63" s="32"/>
      <c r="E63" s="30">
        <v>11</v>
      </c>
      <c r="F63" s="31" t="s">
        <v>524</v>
      </c>
      <c r="G63" s="31" t="s">
        <v>306</v>
      </c>
      <c r="H63" s="32"/>
      <c r="I63" s="30">
        <v>11</v>
      </c>
      <c r="J63" s="31" t="s">
        <v>525</v>
      </c>
      <c r="K63" s="31" t="s">
        <v>336</v>
      </c>
      <c r="L63" s="32"/>
      <c r="M63" s="30">
        <v>11</v>
      </c>
      <c r="N63" s="31" t="s">
        <v>526</v>
      </c>
      <c r="O63" s="31" t="s">
        <v>366</v>
      </c>
      <c r="P63" s="32"/>
      <c r="Q63" s="30">
        <v>11</v>
      </c>
      <c r="R63" s="31" t="s">
        <v>527</v>
      </c>
      <c r="S63" s="31" t="s">
        <v>395</v>
      </c>
      <c r="T63" s="32"/>
    </row>
    <row r="64" spans="1:20" x14ac:dyDescent="0.25">
      <c r="A64" s="30">
        <v>12</v>
      </c>
      <c r="B64" s="31" t="s">
        <v>523</v>
      </c>
      <c r="C64" s="31" t="s">
        <v>277</v>
      </c>
      <c r="D64" s="32"/>
      <c r="E64" s="30">
        <v>12</v>
      </c>
      <c r="F64" s="31" t="s">
        <v>524</v>
      </c>
      <c r="G64" s="31" t="s">
        <v>307</v>
      </c>
      <c r="H64" s="32"/>
      <c r="I64" s="30">
        <v>12</v>
      </c>
      <c r="J64" s="31" t="s">
        <v>525</v>
      </c>
      <c r="K64" s="31" t="s">
        <v>337</v>
      </c>
      <c r="L64" s="32"/>
      <c r="M64" s="30">
        <v>12</v>
      </c>
      <c r="N64" s="31" t="s">
        <v>526</v>
      </c>
      <c r="O64" s="31" t="s">
        <v>367</v>
      </c>
      <c r="P64" s="32"/>
      <c r="Q64" s="30">
        <v>12</v>
      </c>
      <c r="R64" s="31" t="s">
        <v>527</v>
      </c>
      <c r="S64" s="31" t="s">
        <v>396</v>
      </c>
      <c r="T64" s="32"/>
    </row>
    <row r="65" spans="1:20" x14ac:dyDescent="0.25">
      <c r="A65" s="30">
        <v>13</v>
      </c>
      <c r="B65" s="31" t="s">
        <v>523</v>
      </c>
      <c r="C65" s="31" t="s">
        <v>278</v>
      </c>
      <c r="D65" s="32"/>
      <c r="E65" s="30">
        <v>13</v>
      </c>
      <c r="F65" s="31" t="s">
        <v>524</v>
      </c>
      <c r="G65" s="31" t="s">
        <v>308</v>
      </c>
      <c r="H65" s="32"/>
      <c r="I65" s="30">
        <v>13</v>
      </c>
      <c r="J65" s="31" t="s">
        <v>525</v>
      </c>
      <c r="K65" s="31" t="s">
        <v>338</v>
      </c>
      <c r="L65" s="32"/>
      <c r="M65" s="30">
        <v>13</v>
      </c>
      <c r="N65" s="31" t="s">
        <v>526</v>
      </c>
      <c r="O65" s="31" t="s">
        <v>368</v>
      </c>
      <c r="P65" s="32"/>
      <c r="Q65" s="30">
        <v>13</v>
      </c>
      <c r="R65" s="31" t="s">
        <v>527</v>
      </c>
      <c r="S65" s="31" t="s">
        <v>397</v>
      </c>
      <c r="T65" s="32"/>
    </row>
    <row r="66" spans="1:20" x14ac:dyDescent="0.25">
      <c r="A66" s="30">
        <v>14</v>
      </c>
      <c r="B66" s="31" t="s">
        <v>523</v>
      </c>
      <c r="C66" s="31" t="s">
        <v>279</v>
      </c>
      <c r="D66" s="32"/>
      <c r="E66" s="30">
        <v>14</v>
      </c>
      <c r="F66" s="31" t="s">
        <v>524</v>
      </c>
      <c r="G66" s="31" t="s">
        <v>309</v>
      </c>
      <c r="H66" s="32"/>
      <c r="I66" s="30">
        <v>14</v>
      </c>
      <c r="J66" s="31" t="s">
        <v>525</v>
      </c>
      <c r="K66" s="31" t="s">
        <v>339</v>
      </c>
      <c r="L66" s="32"/>
      <c r="M66" s="30">
        <v>14</v>
      </c>
      <c r="N66" s="31" t="s">
        <v>526</v>
      </c>
      <c r="O66" s="31" t="s">
        <v>369</v>
      </c>
      <c r="P66" s="32"/>
      <c r="Q66" s="30">
        <v>14</v>
      </c>
      <c r="R66" s="31" t="s">
        <v>527</v>
      </c>
      <c r="S66" s="31" t="s">
        <v>398</v>
      </c>
      <c r="T66" s="32"/>
    </row>
    <row r="67" spans="1:20" x14ac:dyDescent="0.25">
      <c r="A67" s="30">
        <v>15</v>
      </c>
      <c r="B67" s="31" t="s">
        <v>523</v>
      </c>
      <c r="C67" s="31" t="s">
        <v>280</v>
      </c>
      <c r="D67" s="32"/>
      <c r="E67" s="30">
        <v>15</v>
      </c>
      <c r="F67" s="31" t="s">
        <v>524</v>
      </c>
      <c r="G67" s="31" t="s">
        <v>310</v>
      </c>
      <c r="H67" s="32"/>
      <c r="I67" s="30">
        <v>15</v>
      </c>
      <c r="J67" s="31" t="s">
        <v>525</v>
      </c>
      <c r="K67" s="31" t="s">
        <v>340</v>
      </c>
      <c r="L67" s="32"/>
      <c r="M67" s="30">
        <v>15</v>
      </c>
      <c r="N67" s="31" t="s">
        <v>526</v>
      </c>
      <c r="O67" s="31" t="s">
        <v>370</v>
      </c>
      <c r="P67" s="32"/>
      <c r="Q67" s="30">
        <v>15</v>
      </c>
      <c r="R67" s="31" t="s">
        <v>527</v>
      </c>
      <c r="S67" s="31" t="s">
        <v>399</v>
      </c>
      <c r="T67" s="32"/>
    </row>
    <row r="68" spans="1:20" x14ac:dyDescent="0.25">
      <c r="A68" s="30">
        <v>16</v>
      </c>
      <c r="B68" s="31" t="s">
        <v>523</v>
      </c>
      <c r="C68" s="31" t="s">
        <v>281</v>
      </c>
      <c r="D68" s="32"/>
      <c r="E68" s="30">
        <v>16</v>
      </c>
      <c r="F68" s="31" t="s">
        <v>524</v>
      </c>
      <c r="G68" s="31" t="s">
        <v>311</v>
      </c>
      <c r="H68" s="32"/>
      <c r="I68" s="30">
        <v>16</v>
      </c>
      <c r="J68" s="31" t="s">
        <v>525</v>
      </c>
      <c r="K68" s="31" t="s">
        <v>341</v>
      </c>
      <c r="L68" s="32"/>
      <c r="M68" s="30">
        <v>16</v>
      </c>
      <c r="N68" s="31" t="s">
        <v>526</v>
      </c>
      <c r="O68" s="31" t="s">
        <v>371</v>
      </c>
      <c r="P68" s="32"/>
      <c r="Q68" s="30">
        <v>16</v>
      </c>
      <c r="R68" s="31" t="s">
        <v>527</v>
      </c>
      <c r="S68" s="31" t="s">
        <v>400</v>
      </c>
      <c r="T68" s="32"/>
    </row>
    <row r="69" spans="1:20" x14ac:dyDescent="0.25">
      <c r="A69" s="30">
        <v>17</v>
      </c>
      <c r="B69" s="31" t="s">
        <v>523</v>
      </c>
      <c r="C69" s="31" t="s">
        <v>282</v>
      </c>
      <c r="D69" s="32"/>
      <c r="E69" s="30">
        <v>17</v>
      </c>
      <c r="F69" s="31" t="s">
        <v>524</v>
      </c>
      <c r="G69" s="31" t="s">
        <v>312</v>
      </c>
      <c r="H69" s="32"/>
      <c r="I69" s="30">
        <v>17</v>
      </c>
      <c r="J69" s="31" t="s">
        <v>525</v>
      </c>
      <c r="K69" s="31" t="s">
        <v>342</v>
      </c>
      <c r="L69" s="32"/>
      <c r="M69" s="30">
        <v>17</v>
      </c>
      <c r="N69" s="31" t="s">
        <v>526</v>
      </c>
      <c r="O69" s="31" t="s">
        <v>372</v>
      </c>
      <c r="P69" s="32"/>
      <c r="Q69" s="30">
        <v>17</v>
      </c>
      <c r="R69" s="31" t="s">
        <v>527</v>
      </c>
      <c r="S69" s="31" t="s">
        <v>401</v>
      </c>
      <c r="T69" s="32"/>
    </row>
    <row r="70" spans="1:20" x14ac:dyDescent="0.25">
      <c r="A70" s="30">
        <v>18</v>
      </c>
      <c r="B70" s="31" t="s">
        <v>523</v>
      </c>
      <c r="C70" s="31" t="s">
        <v>283</v>
      </c>
      <c r="D70" s="39"/>
      <c r="E70" s="30">
        <v>18</v>
      </c>
      <c r="F70" s="31" t="s">
        <v>524</v>
      </c>
      <c r="G70" s="31" t="s">
        <v>313</v>
      </c>
      <c r="H70" s="39"/>
      <c r="I70" s="30">
        <v>18</v>
      </c>
      <c r="J70" s="31" t="s">
        <v>525</v>
      </c>
      <c r="K70" s="31" t="s">
        <v>343</v>
      </c>
      <c r="L70" s="39"/>
      <c r="M70" s="30">
        <v>18</v>
      </c>
      <c r="N70" s="31" t="s">
        <v>526</v>
      </c>
      <c r="O70" s="31" t="s">
        <v>373</v>
      </c>
      <c r="P70" s="39"/>
      <c r="Q70" s="30">
        <v>18</v>
      </c>
      <c r="R70" s="31" t="s">
        <v>527</v>
      </c>
      <c r="S70" s="31" t="s">
        <v>402</v>
      </c>
      <c r="T70" s="39"/>
    </row>
    <row r="71" spans="1:20" x14ac:dyDescent="0.25">
      <c r="A71" s="30">
        <v>19</v>
      </c>
      <c r="B71" s="31" t="s">
        <v>523</v>
      </c>
      <c r="C71" s="31" t="s">
        <v>284</v>
      </c>
      <c r="D71" s="32"/>
      <c r="E71" s="30">
        <v>19</v>
      </c>
      <c r="F71" s="31" t="s">
        <v>524</v>
      </c>
      <c r="G71" s="31" t="s">
        <v>314</v>
      </c>
      <c r="H71" s="32"/>
      <c r="I71" s="30">
        <v>19</v>
      </c>
      <c r="J71" s="31" t="s">
        <v>525</v>
      </c>
      <c r="K71" s="31" t="s">
        <v>344</v>
      </c>
      <c r="L71" s="32"/>
      <c r="M71" s="30">
        <v>19</v>
      </c>
      <c r="N71" s="31" t="s">
        <v>526</v>
      </c>
      <c r="O71" s="31" t="s">
        <v>374</v>
      </c>
      <c r="P71" s="32"/>
      <c r="Q71" s="30">
        <v>19</v>
      </c>
      <c r="R71" s="31" t="s">
        <v>527</v>
      </c>
      <c r="S71" s="31" t="s">
        <v>403</v>
      </c>
      <c r="T71" s="32"/>
    </row>
    <row r="72" spans="1:20" x14ac:dyDescent="0.25">
      <c r="A72" s="30">
        <v>20</v>
      </c>
      <c r="B72" s="31" t="s">
        <v>523</v>
      </c>
      <c r="C72" s="31" t="s">
        <v>285</v>
      </c>
      <c r="D72" s="32"/>
      <c r="E72" s="30">
        <v>20</v>
      </c>
      <c r="F72" s="31" t="s">
        <v>524</v>
      </c>
      <c r="G72" s="31" t="s">
        <v>315</v>
      </c>
      <c r="H72" s="32"/>
      <c r="I72" s="30">
        <v>20</v>
      </c>
      <c r="J72" s="31" t="s">
        <v>525</v>
      </c>
      <c r="K72" s="31" t="s">
        <v>345</v>
      </c>
      <c r="L72" s="32"/>
      <c r="M72" s="30">
        <v>20</v>
      </c>
      <c r="N72" s="31" t="s">
        <v>526</v>
      </c>
      <c r="O72" s="31" t="s">
        <v>375</v>
      </c>
      <c r="P72" s="32"/>
      <c r="Q72" s="30">
        <v>20</v>
      </c>
      <c r="R72" s="31" t="s">
        <v>527</v>
      </c>
      <c r="S72" s="31" t="s">
        <v>404</v>
      </c>
      <c r="T72" s="32"/>
    </row>
    <row r="73" spans="1:20" x14ac:dyDescent="0.25">
      <c r="A73" s="30">
        <v>21</v>
      </c>
      <c r="B73" s="31" t="s">
        <v>523</v>
      </c>
      <c r="C73" s="31" t="s">
        <v>286</v>
      </c>
      <c r="D73" s="32"/>
      <c r="E73" s="30">
        <v>21</v>
      </c>
      <c r="F73" s="31" t="s">
        <v>524</v>
      </c>
      <c r="G73" s="31" t="s">
        <v>316</v>
      </c>
      <c r="H73" s="32"/>
      <c r="I73" s="30">
        <v>21</v>
      </c>
      <c r="J73" s="31" t="s">
        <v>525</v>
      </c>
      <c r="K73" s="31" t="s">
        <v>346</v>
      </c>
      <c r="L73" s="32"/>
      <c r="M73" s="30">
        <v>21</v>
      </c>
      <c r="N73" s="31" t="s">
        <v>526</v>
      </c>
      <c r="O73" s="31" t="s">
        <v>376</v>
      </c>
      <c r="P73" s="32"/>
      <c r="Q73" s="30">
        <v>21</v>
      </c>
      <c r="R73" s="31" t="s">
        <v>527</v>
      </c>
      <c r="S73" s="31" t="s">
        <v>405</v>
      </c>
      <c r="T73" s="32"/>
    </row>
    <row r="74" spans="1:20" ht="4.95" customHeight="1" x14ac:dyDescent="0.25">
      <c r="A74" s="76"/>
      <c r="B74" s="74"/>
      <c r="C74" s="74"/>
      <c r="D74" s="75"/>
      <c r="E74" s="76"/>
      <c r="F74" s="74"/>
      <c r="G74" s="74"/>
      <c r="H74" s="75"/>
      <c r="I74" s="76"/>
      <c r="J74" s="74"/>
      <c r="K74" s="74"/>
      <c r="L74" s="75"/>
      <c r="M74" s="76"/>
      <c r="N74" s="74"/>
      <c r="O74" s="74"/>
      <c r="P74" s="75"/>
      <c r="Q74" s="76"/>
      <c r="R74" s="74"/>
      <c r="S74" s="74"/>
      <c r="T74" s="75"/>
    </row>
    <row r="75" spans="1:20" x14ac:dyDescent="0.25">
      <c r="A75" s="26" t="s">
        <v>7</v>
      </c>
      <c r="B75" s="26" t="s">
        <v>0</v>
      </c>
      <c r="C75" s="26" t="s">
        <v>96</v>
      </c>
      <c r="D75" s="27" t="s">
        <v>89</v>
      </c>
      <c r="E75" s="26" t="s">
        <v>7</v>
      </c>
      <c r="F75" s="26" t="s">
        <v>0</v>
      </c>
      <c r="G75" s="26" t="s">
        <v>97</v>
      </c>
      <c r="H75" s="27" t="s">
        <v>89</v>
      </c>
      <c r="I75" s="26" t="s">
        <v>7</v>
      </c>
      <c r="J75" s="26" t="s">
        <v>0</v>
      </c>
      <c r="K75" s="26" t="s">
        <v>98</v>
      </c>
      <c r="L75" s="27" t="s">
        <v>89</v>
      </c>
      <c r="M75" s="26" t="s">
        <v>7</v>
      </c>
      <c r="N75" s="26" t="s">
        <v>0</v>
      </c>
      <c r="O75" s="26" t="s">
        <v>96</v>
      </c>
      <c r="P75" s="27" t="s">
        <v>89</v>
      </c>
      <c r="Q75" s="26" t="s">
        <v>7</v>
      </c>
      <c r="R75" s="26" t="s">
        <v>0</v>
      </c>
      <c r="S75" s="26" t="s">
        <v>97</v>
      </c>
      <c r="T75" s="27" t="s">
        <v>89</v>
      </c>
    </row>
    <row r="76" spans="1:20" x14ac:dyDescent="0.25">
      <c r="A76" s="30">
        <v>1</v>
      </c>
      <c r="B76" s="31" t="s">
        <v>512</v>
      </c>
      <c r="C76" s="31" t="s">
        <v>287</v>
      </c>
      <c r="D76" s="32" t="s">
        <v>425</v>
      </c>
      <c r="E76" s="30">
        <v>1</v>
      </c>
      <c r="F76" s="31" t="s">
        <v>513</v>
      </c>
      <c r="G76" s="31" t="s">
        <v>317</v>
      </c>
      <c r="H76" s="32" t="s">
        <v>425</v>
      </c>
      <c r="I76" s="30">
        <v>1</v>
      </c>
      <c r="J76" s="31" t="s">
        <v>514</v>
      </c>
      <c r="K76" s="31" t="s">
        <v>347</v>
      </c>
      <c r="L76" s="32" t="s">
        <v>425</v>
      </c>
      <c r="M76" s="30">
        <v>1</v>
      </c>
      <c r="N76" s="31" t="s">
        <v>515</v>
      </c>
      <c r="O76" s="31" t="s">
        <v>377</v>
      </c>
      <c r="P76" s="32" t="s">
        <v>425</v>
      </c>
      <c r="Q76" s="30">
        <v>1</v>
      </c>
      <c r="R76" s="31" t="s">
        <v>516</v>
      </c>
      <c r="S76" s="31" t="s">
        <v>406</v>
      </c>
      <c r="T76" s="32" t="s">
        <v>425</v>
      </c>
    </row>
    <row r="77" spans="1:20" x14ac:dyDescent="0.25">
      <c r="A77" s="30">
        <v>2</v>
      </c>
      <c r="B77" s="31" t="s">
        <v>512</v>
      </c>
      <c r="C77" s="31" t="s">
        <v>288</v>
      </c>
      <c r="D77" s="32" t="s">
        <v>426</v>
      </c>
      <c r="E77" s="30">
        <v>2</v>
      </c>
      <c r="F77" s="31" t="s">
        <v>513</v>
      </c>
      <c r="G77" s="31" t="s">
        <v>318</v>
      </c>
      <c r="H77" s="32" t="s">
        <v>426</v>
      </c>
      <c r="I77" s="30">
        <v>2</v>
      </c>
      <c r="J77" s="31" t="s">
        <v>514</v>
      </c>
      <c r="K77" s="31" t="s">
        <v>348</v>
      </c>
      <c r="L77" s="32" t="s">
        <v>426</v>
      </c>
      <c r="M77" s="30">
        <v>2</v>
      </c>
      <c r="N77" s="31" t="s">
        <v>515</v>
      </c>
      <c r="O77" s="31" t="s">
        <v>378</v>
      </c>
      <c r="P77" s="32" t="s">
        <v>426</v>
      </c>
      <c r="Q77" s="30">
        <v>2</v>
      </c>
      <c r="R77" s="31" t="s">
        <v>516</v>
      </c>
      <c r="S77" s="31" t="s">
        <v>407</v>
      </c>
      <c r="T77" s="32" t="s">
        <v>426</v>
      </c>
    </row>
    <row r="78" spans="1:20" x14ac:dyDescent="0.25">
      <c r="A78" s="30">
        <v>3</v>
      </c>
      <c r="B78" s="31" t="s">
        <v>512</v>
      </c>
      <c r="C78" s="31" t="s">
        <v>289</v>
      </c>
      <c r="D78" s="32" t="s">
        <v>423</v>
      </c>
      <c r="E78" s="30">
        <v>3</v>
      </c>
      <c r="F78" s="31" t="s">
        <v>513</v>
      </c>
      <c r="G78" s="31" t="s">
        <v>319</v>
      </c>
      <c r="H78" s="32" t="s">
        <v>423</v>
      </c>
      <c r="I78" s="30">
        <v>3</v>
      </c>
      <c r="J78" s="31" t="s">
        <v>514</v>
      </c>
      <c r="K78" s="31" t="s">
        <v>349</v>
      </c>
      <c r="L78" s="32" t="s">
        <v>423</v>
      </c>
      <c r="M78" s="30">
        <v>3</v>
      </c>
      <c r="N78" s="31" t="s">
        <v>515</v>
      </c>
      <c r="O78" s="31" t="s">
        <v>379</v>
      </c>
      <c r="P78" s="32" t="s">
        <v>423</v>
      </c>
      <c r="Q78" s="30">
        <v>3</v>
      </c>
      <c r="R78" s="31" t="s">
        <v>516</v>
      </c>
      <c r="S78" s="31" t="s">
        <v>408</v>
      </c>
      <c r="T78" s="32" t="s">
        <v>423</v>
      </c>
    </row>
    <row r="79" spans="1:20" x14ac:dyDescent="0.25">
      <c r="A79" s="30">
        <v>4</v>
      </c>
      <c r="B79" s="31" t="s">
        <v>512</v>
      </c>
      <c r="C79" s="31" t="s">
        <v>290</v>
      </c>
      <c r="D79" s="32" t="s">
        <v>424</v>
      </c>
      <c r="E79" s="30">
        <v>4</v>
      </c>
      <c r="F79" s="31" t="s">
        <v>513</v>
      </c>
      <c r="G79" s="31" t="s">
        <v>320</v>
      </c>
      <c r="H79" s="32" t="s">
        <v>424</v>
      </c>
      <c r="I79" s="30">
        <v>4</v>
      </c>
      <c r="J79" s="31" t="s">
        <v>514</v>
      </c>
      <c r="K79" s="31" t="s">
        <v>350</v>
      </c>
      <c r="L79" s="32" t="s">
        <v>424</v>
      </c>
      <c r="M79" s="30">
        <v>4</v>
      </c>
      <c r="N79" s="31" t="s">
        <v>515</v>
      </c>
      <c r="O79" s="31" t="s">
        <v>380</v>
      </c>
      <c r="P79" s="32" t="s">
        <v>424</v>
      </c>
      <c r="Q79" s="30">
        <v>4</v>
      </c>
      <c r="R79" s="31" t="s">
        <v>516</v>
      </c>
      <c r="S79" s="31" t="s">
        <v>409</v>
      </c>
      <c r="T79" s="32" t="s">
        <v>424</v>
      </c>
    </row>
    <row r="80" spans="1:20" x14ac:dyDescent="0.25">
      <c r="A80" s="30">
        <v>5</v>
      </c>
      <c r="B80" s="31" t="s">
        <v>512</v>
      </c>
      <c r="C80" s="31" t="s">
        <v>291</v>
      </c>
      <c r="D80" s="32" t="s">
        <v>450</v>
      </c>
      <c r="E80" s="30">
        <v>5</v>
      </c>
      <c r="F80" s="31" t="s">
        <v>513</v>
      </c>
      <c r="G80" s="31" t="s">
        <v>321</v>
      </c>
      <c r="H80" s="32" t="s">
        <v>450</v>
      </c>
      <c r="I80" s="30">
        <v>5</v>
      </c>
      <c r="J80" s="31" t="s">
        <v>514</v>
      </c>
      <c r="K80" s="31" t="s">
        <v>351</v>
      </c>
      <c r="L80" s="32"/>
      <c r="M80" s="30">
        <v>5</v>
      </c>
      <c r="N80" s="31" t="s">
        <v>515</v>
      </c>
      <c r="O80" s="31" t="s">
        <v>381</v>
      </c>
      <c r="P80" s="32" t="s">
        <v>450</v>
      </c>
      <c r="Q80" s="30">
        <v>5</v>
      </c>
      <c r="R80" s="31" t="s">
        <v>516</v>
      </c>
      <c r="S80" s="31" t="s">
        <v>410</v>
      </c>
      <c r="T80" s="32"/>
    </row>
    <row r="81" spans="1:20" x14ac:dyDescent="0.25">
      <c r="A81" s="30">
        <v>6</v>
      </c>
      <c r="B81" s="31" t="s">
        <v>512</v>
      </c>
      <c r="C81" s="31" t="s">
        <v>292</v>
      </c>
      <c r="D81" s="32"/>
      <c r="E81" s="30">
        <v>6</v>
      </c>
      <c r="F81" s="31" t="s">
        <v>513</v>
      </c>
      <c r="G81" s="31" t="s">
        <v>322</v>
      </c>
      <c r="H81" s="32"/>
      <c r="I81" s="30">
        <v>6</v>
      </c>
      <c r="J81" s="31" t="s">
        <v>514</v>
      </c>
      <c r="K81" s="31" t="s">
        <v>352</v>
      </c>
      <c r="L81" s="32" t="s">
        <v>450</v>
      </c>
      <c r="M81" s="30">
        <v>6</v>
      </c>
      <c r="N81" s="31" t="s">
        <v>515</v>
      </c>
      <c r="O81" s="31" t="s">
        <v>382</v>
      </c>
      <c r="P81" s="32"/>
      <c r="Q81" s="30">
        <v>6</v>
      </c>
      <c r="R81" s="31" t="s">
        <v>516</v>
      </c>
      <c r="S81" s="31" t="s">
        <v>411</v>
      </c>
      <c r="T81" s="32" t="s">
        <v>450</v>
      </c>
    </row>
    <row r="82" spans="1:20" x14ac:dyDescent="0.25">
      <c r="A82" s="30">
        <v>7</v>
      </c>
      <c r="B82" s="31" t="s">
        <v>512</v>
      </c>
      <c r="C82" s="31" t="s">
        <v>293</v>
      </c>
      <c r="D82" s="32"/>
      <c r="E82" s="30">
        <v>7</v>
      </c>
      <c r="F82" s="31" t="s">
        <v>513</v>
      </c>
      <c r="G82" s="31" t="s">
        <v>323</v>
      </c>
      <c r="H82" s="32"/>
      <c r="I82" s="30">
        <v>7</v>
      </c>
      <c r="J82" s="31" t="s">
        <v>514</v>
      </c>
      <c r="K82" s="31" t="s">
        <v>353</v>
      </c>
      <c r="L82" s="32"/>
      <c r="M82" s="30">
        <v>7</v>
      </c>
      <c r="N82" s="31" t="s">
        <v>515</v>
      </c>
      <c r="O82" s="31" t="s">
        <v>383</v>
      </c>
      <c r="P82" s="32"/>
      <c r="Q82" s="30">
        <v>7</v>
      </c>
      <c r="R82" s="31" t="s">
        <v>516</v>
      </c>
      <c r="S82" s="31" t="s">
        <v>412</v>
      </c>
      <c r="T82" s="32"/>
    </row>
    <row r="83" spans="1:20" x14ac:dyDescent="0.25">
      <c r="A83" s="30">
        <v>8</v>
      </c>
      <c r="B83" s="31" t="s">
        <v>512</v>
      </c>
      <c r="C83" s="31" t="s">
        <v>294</v>
      </c>
      <c r="D83" s="32"/>
      <c r="E83" s="30">
        <v>8</v>
      </c>
      <c r="F83" s="31" t="s">
        <v>513</v>
      </c>
      <c r="G83" s="31" t="s">
        <v>324</v>
      </c>
      <c r="H83" s="32"/>
      <c r="I83" s="30">
        <v>8</v>
      </c>
      <c r="J83" s="31" t="s">
        <v>514</v>
      </c>
      <c r="K83" s="31" t="s">
        <v>354</v>
      </c>
      <c r="L83" s="32"/>
      <c r="M83" s="30">
        <v>8</v>
      </c>
      <c r="N83" s="31" t="s">
        <v>515</v>
      </c>
      <c r="O83" s="31" t="s">
        <v>384</v>
      </c>
      <c r="P83" s="32"/>
      <c r="Q83" s="30">
        <v>8</v>
      </c>
      <c r="R83" s="31" t="s">
        <v>516</v>
      </c>
      <c r="S83" s="31" t="s">
        <v>413</v>
      </c>
      <c r="T83" s="32"/>
    </row>
    <row r="84" spans="1:20" ht="4.95" customHeight="1" x14ac:dyDescent="0.25">
      <c r="A84" s="76"/>
      <c r="B84" s="74"/>
      <c r="C84" s="74"/>
      <c r="D84" s="75"/>
      <c r="E84" s="40"/>
      <c r="I84" s="40"/>
      <c r="M84" s="40"/>
      <c r="Q84" s="40"/>
    </row>
    <row r="85" spans="1:20" x14ac:dyDescent="0.25">
      <c r="A85" s="26" t="s">
        <v>7</v>
      </c>
      <c r="B85" s="26" t="s">
        <v>0</v>
      </c>
      <c r="C85" s="26" t="s">
        <v>98</v>
      </c>
      <c r="D85" s="27" t="s">
        <v>89</v>
      </c>
    </row>
    <row r="86" spans="1:20" x14ac:dyDescent="0.25">
      <c r="A86" s="30">
        <v>1</v>
      </c>
      <c r="B86" s="31" t="s">
        <v>517</v>
      </c>
      <c r="C86" s="34" t="s">
        <v>415</v>
      </c>
      <c r="D86" s="32" t="s">
        <v>425</v>
      </c>
    </row>
    <row r="87" spans="1:20" x14ac:dyDescent="0.25">
      <c r="A87" s="30">
        <v>2</v>
      </c>
      <c r="B87" s="31" t="s">
        <v>517</v>
      </c>
      <c r="C87" s="31" t="s">
        <v>416</v>
      </c>
      <c r="D87" s="32" t="s">
        <v>426</v>
      </c>
    </row>
    <row r="88" spans="1:20" x14ac:dyDescent="0.25">
      <c r="A88" s="30">
        <v>3</v>
      </c>
      <c r="B88" s="31" t="s">
        <v>517</v>
      </c>
      <c r="C88" s="31" t="s">
        <v>417</v>
      </c>
      <c r="D88" s="32" t="s">
        <v>423</v>
      </c>
    </row>
    <row r="89" spans="1:20" x14ac:dyDescent="0.25">
      <c r="A89" s="30">
        <v>4</v>
      </c>
      <c r="B89" s="31" t="s">
        <v>517</v>
      </c>
      <c r="C89" s="31" t="s">
        <v>418</v>
      </c>
      <c r="D89" s="32" t="s">
        <v>424</v>
      </c>
    </row>
    <row r="90" spans="1:20" x14ac:dyDescent="0.25">
      <c r="A90" s="30">
        <v>5</v>
      </c>
      <c r="B90" s="31" t="s">
        <v>517</v>
      </c>
      <c r="C90" s="31" t="s">
        <v>419</v>
      </c>
      <c r="D90" s="32"/>
    </row>
    <row r="91" spans="1:20" x14ac:dyDescent="0.25">
      <c r="A91" s="30">
        <v>6</v>
      </c>
      <c r="B91" s="31" t="s">
        <v>517</v>
      </c>
      <c r="C91" s="31" t="s">
        <v>420</v>
      </c>
      <c r="D91" s="32" t="s">
        <v>450</v>
      </c>
    </row>
    <row r="92" spans="1:20" x14ac:dyDescent="0.25">
      <c r="A92" s="30">
        <v>7</v>
      </c>
      <c r="B92" s="31" t="s">
        <v>517</v>
      </c>
      <c r="C92" s="31" t="s">
        <v>421</v>
      </c>
      <c r="D92" s="32"/>
    </row>
    <row r="93" spans="1:20" x14ac:dyDescent="0.25">
      <c r="A93" s="30">
        <v>8</v>
      </c>
      <c r="B93" s="31" t="s">
        <v>517</v>
      </c>
      <c r="C93" s="31" t="s">
        <v>422</v>
      </c>
      <c r="D93" s="32"/>
    </row>
  </sheetData>
  <phoneticPr fontId="7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69FD3-4057-47D3-A87B-19EF9B52FC95}">
  <sheetPr codeName="Sheet8">
    <tabColor theme="8"/>
  </sheetPr>
  <dimension ref="A1:O57"/>
  <sheetViews>
    <sheetView zoomScaleNormal="100" workbookViewId="0">
      <pane ySplit="1" topLeftCell="A2" activePane="bottomLeft" state="frozen"/>
      <selection pane="bottomLeft" activeCell="E8" sqref="E8"/>
    </sheetView>
  </sheetViews>
  <sheetFormatPr defaultRowHeight="13.8" x14ac:dyDescent="0.25"/>
  <cols>
    <col min="1" max="1" width="4.33203125" style="5" bestFit="1" customWidth="1"/>
    <col min="2" max="2" width="40.44140625" bestFit="1" customWidth="1"/>
    <col min="3" max="3" width="11.33203125" customWidth="1"/>
    <col min="4" max="4" width="9.77734375" style="54" customWidth="1"/>
    <col min="5" max="5" width="16.44140625" style="54" customWidth="1"/>
    <col min="6" max="6" width="19.6640625" style="54" customWidth="1"/>
    <col min="7" max="7" width="16.88671875" customWidth="1"/>
    <col min="8" max="9" width="17.5546875" customWidth="1"/>
    <col min="10" max="12" width="17.5546875" style="55" customWidth="1"/>
    <col min="13" max="15" width="17.5546875" customWidth="1"/>
  </cols>
  <sheetData>
    <row r="1" spans="1:15" x14ac:dyDescent="0.25">
      <c r="A1" s="41" t="s">
        <v>7</v>
      </c>
      <c r="B1" s="42" t="s">
        <v>72</v>
      </c>
      <c r="C1" s="42" t="s">
        <v>0</v>
      </c>
      <c r="D1" s="42" t="s">
        <v>20</v>
      </c>
      <c r="E1" s="42" t="s">
        <v>33</v>
      </c>
      <c r="F1" s="42" t="s">
        <v>12</v>
      </c>
      <c r="G1" s="134" t="s">
        <v>455</v>
      </c>
      <c r="H1" s="134" t="s">
        <v>453</v>
      </c>
      <c r="I1" s="134" t="s">
        <v>451</v>
      </c>
      <c r="J1" s="135" t="s">
        <v>36</v>
      </c>
      <c r="K1" s="136" t="s">
        <v>2</v>
      </c>
      <c r="L1" s="136" t="s">
        <v>19</v>
      </c>
      <c r="M1" s="137" t="s">
        <v>460</v>
      </c>
      <c r="N1" s="138" t="s">
        <v>34</v>
      </c>
      <c r="O1" s="136" t="s">
        <v>35</v>
      </c>
    </row>
    <row r="2" spans="1:15" x14ac:dyDescent="0.25">
      <c r="A2" s="45">
        <v>1</v>
      </c>
      <c r="B2" s="46" t="str" cm="1">
        <f t="array" ref="B2">IFERROR(_xlfn._xlws.FILTER(节点信息!$C$3:$C$27,节点信息!$D$3:$D$27=$B$31),"")</f>
        <v>f9799575-8d4c-4182-b13e-aadda305d4da</v>
      </c>
      <c r="C2" s="31" t="str">
        <f>IF(B2&lt;&gt;"","aws1.edu.tw","")</f>
        <v>aws1.edu.tw</v>
      </c>
      <c r="D2" s="47" t="str">
        <f>IF(B2&lt;&gt;"","edutw","")</f>
        <v>edutw</v>
      </c>
      <c r="E2" s="47" t="str">
        <f t="shared" ref="E2:E27" si="0">LEFT(C2,FIND(".",C2)-1)&amp;".era.eu.org"</f>
        <v>aws1.era.eu.org</v>
      </c>
      <c r="F2" s="47" t="s">
        <v>528</v>
      </c>
      <c r="G2" s="139" t="str">
        <f>UPPER(LEFT(C2,FIND(".",C2)-1))&amp;"_VMess_WS = vmess, "&amp;F2&amp;", 443, username="&amp;B2&amp;", ws=true, tls=true, ws-path=/"&amp;D2&amp;"vws, skip-cert-verify=false, udp-relay=false, vmess-aead=true, ws-headers=Host:"&amp;C2&amp;", sni="&amp;C2</f>
        <v>AWS1_VMess_WS = vmess, cf19.eraw.eu.org, 443, username=f9799575-8d4c-4182-b13e-aadda305d4da, ws=true, tls=true, ws-path=/edutwvws, skip-cert-verify=false, udp-relay=false, vmess-aead=true, ws-headers=Host:aws1.edu.tw, sni=aws1.edu.tw</v>
      </c>
      <c r="H2" s="125" t="str">
        <f>"vless://"&amp;B2&amp;"@"&amp;E2&amp;":4567?encryption=none&amp;security=reality&amp;type=tcp&amp;sni="&amp;C2&amp;"&amp;fp=chrome&amp;pbk=swgXIpGcJF34pYYwjPznkG4jZ6dH8oLaO2ImCbFTMVE&amp;sid=6ba85179e30d4fc2&amp;flow=xtls-rprx-vision#"&amp;UPPER(LEFT(C2,FIND(".",C2)-1))&amp;"_Reality_TLS"</f>
        <v>vless://f9799575-8d4c-4182-b13e-aadda305d4da@aws1.era.eu.org:4567?encryption=none&amp;security=reality&amp;type=tcp&amp;sni=aws1.edu.tw&amp;fp=chrome&amp;pbk=swgXIpGcJF34pYYwjPznkG4jZ6dH8oLaO2ImCbFTMVE&amp;sid=6ba85179e30d4fc2&amp;flow=xtls-rprx-vision#AWS1_Reality_TLS</v>
      </c>
      <c r="I2" s="125" t="str">
        <f>"vless://"&amp;B2&amp;"@"&amp;E2&amp;":4567?encryption=none&amp;security=reality&amp;type=grpc&amp;sni="&amp;C2&amp;"&amp;fp=chrome&amp;pbk=swgXIpGcJF34pYYwjPznkG4jZ6dH8oLaO2ImCbFTMVE&amp;sid=6ba85179e30d4fc2&amp;path=grpc&amp;serviceName=grpc#"&amp;UPPER(LEFT(C2,FIND(".",C2)-1))&amp;"_Reality_gRPC"</f>
        <v>vless://f9799575-8d4c-4182-b13e-aadda305d4da@aws1.era.eu.org:4567?encryption=none&amp;security=reality&amp;type=grpc&amp;sni=aws1.edu.tw&amp;fp=chrome&amp;pbk=swgXIpGcJF34pYYwjPznkG4jZ6dH8oLaO2ImCbFTMVE&amp;sid=6ba85179e30d4fc2&amp;path=grpc&amp;serviceName=grpc#AWS1_Reality_gRPC</v>
      </c>
      <c r="J2" s="84" t="str">
        <f>IF(B2&lt;&gt;""," vless://"&amp;B2&amp;"@"&amp;IF(F2="",C2,F2)&amp;":443?encryption=none&amp;security=tls&amp;type=ws&amp;host="&amp;C2&amp;"&amp;sni="&amp;C2&amp;"&amp;fp=chrome&amp;path=/"&amp;D2&amp;"ws#"&amp;UPPER(LEFT(C2,FIND(".",C2)-1))&amp;"_VLESS_WS","")</f>
        <v xml:space="preserve"> vless://f9799575-8d4c-4182-b13e-aadda305d4da@cf19.eraw.eu.org:443?encryption=none&amp;security=tls&amp;type=ws&amp;host=aws1.edu.tw&amp;sni=aws1.edu.tw&amp;fp=chrome&amp;path=/edutwws#AWS1_VLESS_WS</v>
      </c>
      <c r="K2" s="84" t="str">
        <f>IF(B2&lt;&gt;"","vless://"&amp;B2&amp;"@"&amp;IF(F2="",C2,F2)&amp;":443?encryption=none&amp;security=tls&amp;type=grpc&amp;host="&amp;C2&amp;"&amp;path="&amp;D2&amp;"grpc&amp;fp=chrome&amp;serviceName="&amp;D2&amp;"grpc&amp;alpn=h2&amp;sni="&amp;C2&amp;"#"&amp;UPPER(LEFT(C2,FIND(".",C2)-1))&amp;"_VLESS_gRPC","")</f>
        <v>vless://f9799575-8d4c-4182-b13e-aadda305d4da@cf19.eraw.eu.org:443?encryption=none&amp;security=tls&amp;type=grpc&amp;host=aws1.edu.tw&amp;path=edutwgrpc&amp;fp=chrome&amp;serviceName=edutwgrpc&amp;alpn=h2&amp;sni=aws1.edu.tw#AWS1_VLESS_gRPC</v>
      </c>
      <c r="L2" s="84" t="str">
        <f t="shared" ref="L2:L27" si="1">IF(B2&lt;&gt;"","trojan://"&amp;B2&amp;"@"&amp;IF(F2="",C2,F2)&amp;":443?encryption=none&amp;peer="&amp;C2&amp;"&amp;fp=chrome&amp;security=tls&amp;type=grpc&amp;sni="&amp;C2&amp;"&amp;alpn=h2&amp;path="&amp;D2&amp;"trojangrpc&amp;serviceName="&amp;D2&amp;"trojangrpc#"&amp;UPPER(LEFT(C2,FIND(".",C2)-1))&amp;"_Trojan_gRPC","")</f>
        <v>trojan://f9799575-8d4c-4182-b13e-aadda305d4da@cf19.eraw.eu.org:443?encryption=none&amp;peer=aws1.edu.tw&amp;fp=chrome&amp;security=tls&amp;type=grpc&amp;sni=aws1.edu.tw&amp;alpn=h2&amp;path=edutwtrojangrpc&amp;serviceName=edutwtrojangrpc#AWS1_Trojan_gRPC</v>
      </c>
      <c r="M2" s="84" t="str" cm="1">
        <f t="array" ref="M2">IF(B2&lt;&gt;"","vmess://"&amp;EncodeBase64("  {""port"":443,""ps"""&amp;":"""&amp;UPPER(LEFT(C2,FIND(".",C2)-1))&amp;"_VMess_WS"",""tls"":""tls"",""id"":"""&amp;B2&amp;""",""aid"":0,""v"":2,""host"":"""&amp;C2&amp;""",""type"":""none"",""path"":""/"&amp;D2&amp;"vws"&amp;""",""net"":""ws"",""add"":"""&amp;F2&amp;""""&amp;","&amp;"""allowInsecure"":0,""method"":""none"",""peer"":"""&amp;C2&amp;""",""sni"":"""&amp;C2&amp;"""}"),"")</f>
        <v>vmess://ICB7InBvcnQiOjQ0MywicHMiOiJBV1MxX1ZNZXNzX1dTIiwidGxzIjoidGxzIiwiaWQiOiJmOTc5OTU3NS04ZDRjLTQxODItYjEzZS1hYWRkYTMwNWQ0ZGEiLCJhaWQiOjAsInYiOjIsImhvc3QiOiJhd3MxLmVkdS50dyIsInR5cGUiOiJub25lIiwicGF0aCI6Ii9lZHV0d3Z3cyIsIm5ldCI6IndzIiwiYWRkIjoiY2YxOS5lcmF3LmV1Lm9yZyIsImFsbG93SW5zZWN1cmUiOjAsIm1ldGhvZCI6Im5vbmUiLCJwZWVyIjoiYXdzMS5lZHUudHciLCJzbmkiOiJhd3MxLmVkdS50dyJ9</v>
      </c>
      <c r="N2" s="84" t="str">
        <f>"trojan://"&amp;B2&amp;"@"&amp;E2&amp;":443?peer="&amp;C2&amp;"&amp;fp=chrome&amp;sni="&amp;C2&amp;"&amp;alpn=http/1.1#"&amp;UPPER(LEFT(C2,FIND(".",C2)-1))&amp;"_Trojan"</f>
        <v>trojan://f9799575-8d4c-4182-b13e-aadda305d4da@aws1.era.eu.org:443?peer=aws1.edu.tw&amp;fp=chrome&amp;sni=aws1.edu.tw&amp;alpn=http/1.1#AWS1_Trojan</v>
      </c>
      <c r="O2" s="84" t="str">
        <f>IF(B2&lt;&gt;""," vless://"&amp;B2&amp;"@"&amp;IF(E2="",C2,E2)&amp;":443?encryption=none&amp;security=tls&amp;fp=chrome&amp;type=tcp&amp;host="&amp;C2&amp;"&amp;headerType=none&amp;sni="&amp;C2&amp;"&amp;flow=xtls-rprx-vision#"&amp;UPPER(LEFT(C2,FIND(".",C2)-1))&amp;"_VLESS_TLS","")</f>
        <v xml:space="preserve"> vless://f9799575-8d4c-4182-b13e-aadda305d4da@aws1.era.eu.org:443?encryption=none&amp;security=tls&amp;fp=chrome&amp;type=tcp&amp;host=aws1.edu.tw&amp;headerType=none&amp;sni=aws1.edu.tw&amp;flow=xtls-rprx-vision#AWS1_VLESS_TLS</v>
      </c>
    </row>
    <row r="3" spans="1:15" x14ac:dyDescent="0.25">
      <c r="A3" s="45">
        <v>2</v>
      </c>
      <c r="B3" s="46" t="str" cm="1">
        <f t="array" ref="B3">IFERROR(_xlfn._xlws.FILTER(节点信息!$C$3:$C$27,节点信息!$D$3:$D$27=$B$31),"")</f>
        <v>f9799575-8d4c-4182-b13e-aadda305d4da</v>
      </c>
      <c r="C3" s="31" t="str">
        <f>IF(B3&lt;&gt;"","aws2.edu.tw","")</f>
        <v>aws2.edu.tw</v>
      </c>
      <c r="D3" s="47" t="str">
        <f>IF(B3&lt;&gt;"","edutw","")</f>
        <v>edutw</v>
      </c>
      <c r="E3" s="47" t="str">
        <f t="shared" si="0"/>
        <v>aws2.era.eu.org</v>
      </c>
      <c r="F3" s="47" t="s">
        <v>529</v>
      </c>
      <c r="G3" s="139" t="str">
        <f t="shared" ref="G3:G27" si="2">UPPER(LEFT(C3,FIND(".",C3)-1))&amp;"_VMess_WS = vmess, "&amp;F3&amp;", 443, username="&amp;B3&amp;", ws=true, tls=true, ws-path=/"&amp;D3&amp;"vws, skip-cert-verify=false, udp-relay=false, vmess-aead=true, ws-headers=Host:"&amp;C3&amp;", sni="&amp;C3</f>
        <v>AWS2_VMess_WS = vmess, cf20.eraw.eu.org, 443, username=f9799575-8d4c-4182-b13e-aadda305d4da, ws=true, tls=true, ws-path=/edutwvws, skip-cert-verify=false, udp-relay=false, vmess-aead=true, ws-headers=Host:aws2.edu.tw, sni=aws2.edu.tw</v>
      </c>
      <c r="H3" s="125" t="str">
        <f t="shared" ref="H3:H27" si="3">"vless://"&amp;B3&amp;"@"&amp;E3&amp;":4567?encryption=none&amp;security=reality&amp;type=tcp&amp;sni="&amp;C3&amp;"&amp;fp=chrome&amp;pbk=swgXIpGcJF34pYYwjPznkG4jZ6dH8oLaO2ImCbFTMVE&amp;sid=6ba85179e30d4fc2&amp;flow=xtls-rprx-vision#"&amp;UPPER(LEFT(C3,FIND(".",C3)-1))&amp;"_Reality_TLS"</f>
        <v>vless://f9799575-8d4c-4182-b13e-aadda305d4da@aws2.era.eu.org:4567?encryption=none&amp;security=reality&amp;type=tcp&amp;sni=aws2.edu.tw&amp;fp=chrome&amp;pbk=swgXIpGcJF34pYYwjPznkG4jZ6dH8oLaO2ImCbFTMVE&amp;sid=6ba85179e30d4fc2&amp;flow=xtls-rprx-vision#AWS2_Reality_TLS</v>
      </c>
      <c r="I3" s="125" t="str">
        <f t="shared" ref="I3:I27" si="4">"vless://"&amp;B3&amp;"@"&amp;E3&amp;":4567?encryption=none&amp;security=reality&amp;type=grpc&amp;sni="&amp;C3&amp;"&amp;fp=chrome&amp;pbk=swgXIpGcJF34pYYwjPznkG4jZ6dH8oLaO2ImCbFTMVE&amp;sid=6ba85179e30d4fc2&amp;path=grpc&amp;serviceName=grpc#"&amp;UPPER(LEFT(C3,FIND(".",C3)-1))&amp;"_Reality_gRPC"</f>
        <v>vless://f9799575-8d4c-4182-b13e-aadda305d4da@aws2.era.eu.org:4567?encryption=none&amp;security=reality&amp;type=grpc&amp;sni=aws2.edu.tw&amp;fp=chrome&amp;pbk=swgXIpGcJF34pYYwjPznkG4jZ6dH8oLaO2ImCbFTMVE&amp;sid=6ba85179e30d4fc2&amp;path=grpc&amp;serviceName=grpc#AWS2_Reality_gRPC</v>
      </c>
      <c r="J3" s="84" t="str">
        <f t="shared" ref="J3:J27" si="5">IF(B3&lt;&gt;""," vless://"&amp;B3&amp;"@"&amp;IF(F3="",C3,F3)&amp;":443?encryption=none&amp;security=tls&amp;type=ws&amp;host="&amp;C3&amp;"&amp;sni="&amp;C3&amp;"&amp;fp=chrome&amp;path=/"&amp;D3&amp;"ws#"&amp;UPPER(LEFT(C3,FIND(".",C3)-1))&amp;"_VLESS_WS","")</f>
        <v xml:space="preserve"> vless://f9799575-8d4c-4182-b13e-aadda305d4da@cf20.eraw.eu.org:443?encryption=none&amp;security=tls&amp;type=ws&amp;host=aws2.edu.tw&amp;sni=aws2.edu.tw&amp;fp=chrome&amp;path=/edutwws#AWS2_VLESS_WS</v>
      </c>
      <c r="K3" s="84" t="str">
        <f t="shared" ref="K3:K27" si="6">IF(B3&lt;&gt;"","vless://"&amp;B3&amp;"@"&amp;IF(F3="",C3,F3)&amp;":443?encryption=none&amp;security=tls&amp;type=grpc&amp;host="&amp;C3&amp;"&amp;path="&amp;D3&amp;"grpc&amp;fp=chrome&amp;serviceName="&amp;D3&amp;"grpc&amp;alpn=h2&amp;sni="&amp;C3&amp;"#"&amp;UPPER(LEFT(C3,FIND(".",C3)-1))&amp;"_VLESS_gRPC","")</f>
        <v>vless://f9799575-8d4c-4182-b13e-aadda305d4da@cf20.eraw.eu.org:443?encryption=none&amp;security=tls&amp;type=grpc&amp;host=aws2.edu.tw&amp;path=edutwgrpc&amp;fp=chrome&amp;serviceName=edutwgrpc&amp;alpn=h2&amp;sni=aws2.edu.tw#AWS2_VLESS_gRPC</v>
      </c>
      <c r="L3" s="84" t="str">
        <f t="shared" si="1"/>
        <v>trojan://f9799575-8d4c-4182-b13e-aadda305d4da@cf20.eraw.eu.org:443?encryption=none&amp;peer=aws2.edu.tw&amp;fp=chrome&amp;security=tls&amp;type=grpc&amp;sni=aws2.edu.tw&amp;alpn=h2&amp;path=edutwtrojangrpc&amp;serviceName=edutwtrojangrpc#AWS2_Trojan_gRPC</v>
      </c>
      <c r="M3" s="84" t="str" cm="1">
        <f t="array" ref="M3">IF(B3&lt;&gt;"","vmess://"&amp;EncodeBase64("  {""port"":443,""ps"""&amp;":"""&amp;UPPER(LEFT(C3,FIND(".",C3)-1))&amp;"_VMess_WS"",""tls"":""tls"",""id"":"""&amp;B3&amp;""",""aid"":0,""v"":2,""host"":"""&amp;C3&amp;""",""type"":""none"",""path"":""/"&amp;D3&amp;"vws"&amp;""",""net"":""ws"",""add"":"""&amp;F3&amp;""""&amp;","&amp;"""allowInsecure"":0,""method"":""none"",""peer"":"""&amp;C3&amp;""",""sni"":"""&amp;C3&amp;"""}"),"")</f>
        <v>vmess://ICB7InBvcnQiOjQ0MywicHMiOiJBV1MyX1ZNZXNzX1dTIiwidGxzIjoidGxzIiwiaWQiOiJmOTc5OTU3NS04ZDRjLTQxODItYjEzZS1hYWRkYTMwNWQ0ZGEiLCJhaWQiOjAsInYiOjIsImhvc3QiOiJhd3MyLmVkdS50dyIsInR5cGUiOiJub25lIiwicGF0aCI6Ii9lZHV0d3Z3cyIsIm5ldCI6IndzIiwiYWRkIjoiY2YyMC5lcmF3LmV1Lm9yZyIsImFsbG93SW5zZWN1cmUiOjAsIm1ldGhvZCI6Im5vbmUiLCJwZWVyIjoiYXdzMi5lZHUudHciLCJzbmkiOiJhd3MyLmVkdS50dyJ9</v>
      </c>
      <c r="N3" s="84" t="str">
        <f t="shared" ref="N3:N27" si="7">"trojan://"&amp;B3&amp;"@"&amp;E3&amp;":443?peer="&amp;C3&amp;"&amp;fp=chrome&amp;sni="&amp;C3&amp;"&amp;alpn=http/1.1#"&amp;UPPER(LEFT(C3,FIND(".",C3)-1))&amp;"_Trojan"</f>
        <v>trojan://f9799575-8d4c-4182-b13e-aadda305d4da@aws2.era.eu.org:443?peer=aws2.edu.tw&amp;fp=chrome&amp;sni=aws2.edu.tw&amp;alpn=http/1.1#AWS2_Trojan</v>
      </c>
      <c r="O3" s="84" t="str">
        <f t="shared" ref="O3:O27" si="8">IF(B3&lt;&gt;""," vless://"&amp;B3&amp;"@"&amp;IF(E3="",C3,E3)&amp;":443?encryption=none&amp;security=tls&amp;fp=chrome&amp;type=tcp&amp;host="&amp;C3&amp;"&amp;headerType=none&amp;sni="&amp;C3&amp;"&amp;flow=xtls-rprx-vision#"&amp;UPPER(LEFT(C3,FIND(".",C3)-1))&amp;"_VLESS_TLS","")</f>
        <v xml:space="preserve"> vless://f9799575-8d4c-4182-b13e-aadda305d4da@aws2.era.eu.org:443?encryption=none&amp;security=tls&amp;fp=chrome&amp;type=tcp&amp;host=aws2.edu.tw&amp;headerType=none&amp;sni=aws2.edu.tw&amp;flow=xtls-rprx-vision#AWS2_VLESS_TLS</v>
      </c>
    </row>
    <row r="4" spans="1:15" x14ac:dyDescent="0.25">
      <c r="A4" s="45">
        <v>3</v>
      </c>
      <c r="B4" s="46" t="str" cm="1">
        <f t="array" ref="B4">IFERROR(_xlfn._xlws.FILTER(节点信息!$C$3:$C$27,节点信息!$D$3:$D$27=$B$31),"")</f>
        <v>f9799575-8d4c-4182-b13e-aadda305d4da</v>
      </c>
      <c r="C4" s="31" t="str">
        <f>IF(B4&lt;&gt;"","aws3.edu.tw","")</f>
        <v>aws3.edu.tw</v>
      </c>
      <c r="D4" s="47" t="str">
        <f>IF(B4&lt;&gt;"","edutw","")</f>
        <v>edutw</v>
      </c>
      <c r="E4" s="47" t="str">
        <f t="shared" si="0"/>
        <v>aws3.era.eu.org</v>
      </c>
      <c r="F4" s="47" t="s">
        <v>530</v>
      </c>
      <c r="G4" s="139" t="str">
        <f t="shared" si="2"/>
        <v>AWS3_VMess_WS = vmess, cf21.eraw.eu.org, 443, username=f9799575-8d4c-4182-b13e-aadda305d4da, ws=true, tls=true, ws-path=/edutwvws, skip-cert-verify=false, udp-relay=false, vmess-aead=true, ws-headers=Host:aws3.edu.tw, sni=aws3.edu.tw</v>
      </c>
      <c r="H4" s="125" t="str">
        <f t="shared" si="3"/>
        <v>vless://f9799575-8d4c-4182-b13e-aadda305d4da@aws3.era.eu.org:4567?encryption=none&amp;security=reality&amp;type=tcp&amp;sni=aws3.edu.tw&amp;fp=chrome&amp;pbk=swgXIpGcJF34pYYwjPznkG4jZ6dH8oLaO2ImCbFTMVE&amp;sid=6ba85179e30d4fc2&amp;flow=xtls-rprx-vision#AWS3_Reality_TLS</v>
      </c>
      <c r="I4" s="125" t="str">
        <f t="shared" si="4"/>
        <v>vless://f9799575-8d4c-4182-b13e-aadda305d4da@aws3.era.eu.org:4567?encryption=none&amp;security=reality&amp;type=grpc&amp;sni=aws3.edu.tw&amp;fp=chrome&amp;pbk=swgXIpGcJF34pYYwjPznkG4jZ6dH8oLaO2ImCbFTMVE&amp;sid=6ba85179e30d4fc2&amp;path=grpc&amp;serviceName=grpc#AWS3_Reality_gRPC</v>
      </c>
      <c r="J4" s="84" t="str">
        <f t="shared" si="5"/>
        <v xml:space="preserve"> vless://f9799575-8d4c-4182-b13e-aadda305d4da@cf21.eraw.eu.org:443?encryption=none&amp;security=tls&amp;type=ws&amp;host=aws3.edu.tw&amp;sni=aws3.edu.tw&amp;fp=chrome&amp;path=/edutwws#AWS3_VLESS_WS</v>
      </c>
      <c r="K4" s="84" t="str">
        <f t="shared" si="6"/>
        <v>vless://f9799575-8d4c-4182-b13e-aadda305d4da@cf21.eraw.eu.org:443?encryption=none&amp;security=tls&amp;type=grpc&amp;host=aws3.edu.tw&amp;path=edutwgrpc&amp;fp=chrome&amp;serviceName=edutwgrpc&amp;alpn=h2&amp;sni=aws3.edu.tw#AWS3_VLESS_gRPC</v>
      </c>
      <c r="L4" s="84" t="str">
        <f t="shared" si="1"/>
        <v>trojan://f9799575-8d4c-4182-b13e-aadda305d4da@cf21.eraw.eu.org:443?encryption=none&amp;peer=aws3.edu.tw&amp;fp=chrome&amp;security=tls&amp;type=grpc&amp;sni=aws3.edu.tw&amp;alpn=h2&amp;path=edutwtrojangrpc&amp;serviceName=edutwtrojangrpc#AWS3_Trojan_gRPC</v>
      </c>
      <c r="M4" s="84" t="str" cm="1">
        <f t="array" ref="M4">IF(B4&lt;&gt;"","vmess://"&amp;EncodeBase64("  {""port"":443,""ps"""&amp;":"""&amp;UPPER(LEFT(C4,FIND(".",C4)-1))&amp;"_VMess_WS"",""tls"":""tls"",""id"":"""&amp;B4&amp;""",""aid"":0,""v"":2,""host"":"""&amp;C4&amp;""",""type"":""none"",""path"":""/"&amp;D4&amp;"vws"&amp;""",""net"":""ws"",""add"":"""&amp;F4&amp;""""&amp;","&amp;"""allowInsecure"":0,""method"":""none"",""peer"":"""&amp;C4&amp;""",""sni"":"""&amp;C4&amp;"""}"),"")</f>
        <v>vmess://ICB7InBvcnQiOjQ0MywicHMiOiJBV1MzX1ZNZXNzX1dTIiwidGxzIjoidGxzIiwiaWQiOiJmOTc5OTU3NS04ZDRjLTQxODItYjEzZS1hYWRkYTMwNWQ0ZGEiLCJhaWQiOjAsInYiOjIsImhvc3QiOiJhd3MzLmVkdS50dyIsInR5cGUiOiJub25lIiwicGF0aCI6Ii9lZHV0d3Z3cyIsIm5ldCI6IndzIiwiYWRkIjoiY2YyMS5lcmF3LmV1Lm9yZyIsImFsbG93SW5zZWN1cmUiOjAsIm1ldGhvZCI6Im5vbmUiLCJwZWVyIjoiYXdzMy5lZHUudHciLCJzbmkiOiJhd3MzLmVkdS50dyJ9</v>
      </c>
      <c r="N4" s="84" t="str">
        <f t="shared" si="7"/>
        <v>trojan://f9799575-8d4c-4182-b13e-aadda305d4da@aws3.era.eu.org:443?peer=aws3.edu.tw&amp;fp=chrome&amp;sni=aws3.edu.tw&amp;alpn=http/1.1#AWS3_Trojan</v>
      </c>
      <c r="O4" s="84" t="str">
        <f t="shared" si="8"/>
        <v xml:space="preserve"> vless://f9799575-8d4c-4182-b13e-aadda305d4da@aws3.era.eu.org:443?encryption=none&amp;security=tls&amp;fp=chrome&amp;type=tcp&amp;host=aws3.edu.tw&amp;headerType=none&amp;sni=aws3.edu.tw&amp;flow=xtls-rprx-vision#AWS3_VLESS_TLS</v>
      </c>
    </row>
    <row r="5" spans="1:15" x14ac:dyDescent="0.25">
      <c r="A5" s="45">
        <v>4</v>
      </c>
      <c r="B5" s="46" t="str" cm="1">
        <f t="array" ref="B5">IFERROR(_xlfn._xlws.FILTER(节点信息!$C$3:$C$27,节点信息!$D$3:$D$27=$B$31),"")</f>
        <v>f9799575-8d4c-4182-b13e-aadda305d4da</v>
      </c>
      <c r="C5" s="31" t="str">
        <f>IF(B5&lt;&gt;"","aws4.edu.tw","")</f>
        <v>aws4.edu.tw</v>
      </c>
      <c r="D5" s="47" t="str">
        <f>IF(B5&lt;&gt;"","edutw","")</f>
        <v>edutw</v>
      </c>
      <c r="E5" s="47" t="str">
        <f t="shared" si="0"/>
        <v>aws4.era.eu.org</v>
      </c>
      <c r="F5" s="47" t="s">
        <v>531</v>
      </c>
      <c r="G5" s="139" t="str">
        <f t="shared" si="2"/>
        <v>AWS4_VMess_WS = vmess, cf22.eraw.eu.org, 443, username=f9799575-8d4c-4182-b13e-aadda305d4da, ws=true, tls=true, ws-path=/edutwvws, skip-cert-verify=false, udp-relay=false, vmess-aead=true, ws-headers=Host:aws4.edu.tw, sni=aws4.edu.tw</v>
      </c>
      <c r="H5" s="125" t="str">
        <f t="shared" si="3"/>
        <v>vless://f9799575-8d4c-4182-b13e-aadda305d4da@aws4.era.eu.org:4567?encryption=none&amp;security=reality&amp;type=tcp&amp;sni=aws4.edu.tw&amp;fp=chrome&amp;pbk=swgXIpGcJF34pYYwjPznkG4jZ6dH8oLaO2ImCbFTMVE&amp;sid=6ba85179e30d4fc2&amp;flow=xtls-rprx-vision#AWS4_Reality_TLS</v>
      </c>
      <c r="I5" s="125" t="str">
        <f t="shared" si="4"/>
        <v>vless://f9799575-8d4c-4182-b13e-aadda305d4da@aws4.era.eu.org:4567?encryption=none&amp;security=reality&amp;type=grpc&amp;sni=aws4.edu.tw&amp;fp=chrome&amp;pbk=swgXIpGcJF34pYYwjPznkG4jZ6dH8oLaO2ImCbFTMVE&amp;sid=6ba85179e30d4fc2&amp;path=grpc&amp;serviceName=grpc#AWS4_Reality_gRPC</v>
      </c>
      <c r="J5" s="84" t="str">
        <f t="shared" si="5"/>
        <v xml:space="preserve"> vless://f9799575-8d4c-4182-b13e-aadda305d4da@cf22.eraw.eu.org:443?encryption=none&amp;security=tls&amp;type=ws&amp;host=aws4.edu.tw&amp;sni=aws4.edu.tw&amp;fp=chrome&amp;path=/edutwws#AWS4_VLESS_WS</v>
      </c>
      <c r="K5" s="84" t="str">
        <f t="shared" si="6"/>
        <v>vless://f9799575-8d4c-4182-b13e-aadda305d4da@cf22.eraw.eu.org:443?encryption=none&amp;security=tls&amp;type=grpc&amp;host=aws4.edu.tw&amp;path=edutwgrpc&amp;fp=chrome&amp;serviceName=edutwgrpc&amp;alpn=h2&amp;sni=aws4.edu.tw#AWS4_VLESS_gRPC</v>
      </c>
      <c r="L5" s="84" t="str">
        <f t="shared" si="1"/>
        <v>trojan://f9799575-8d4c-4182-b13e-aadda305d4da@cf22.eraw.eu.org:443?encryption=none&amp;peer=aws4.edu.tw&amp;fp=chrome&amp;security=tls&amp;type=grpc&amp;sni=aws4.edu.tw&amp;alpn=h2&amp;path=edutwtrojangrpc&amp;serviceName=edutwtrojangrpc#AWS4_Trojan_gRPC</v>
      </c>
      <c r="M5" s="84" t="str" cm="1">
        <f t="array" ref="M5">IF(B5&lt;&gt;"","vmess://"&amp;EncodeBase64("  {""port"":443,""ps"""&amp;":"""&amp;UPPER(LEFT(C5,FIND(".",C5)-1))&amp;"_VMess_WS"",""tls"":""tls"",""id"":"""&amp;B5&amp;""",""aid"":0,""v"":2,""host"":"""&amp;C5&amp;""",""type"":""none"",""path"":""/"&amp;D5&amp;"vws"&amp;""",""net"":""ws"",""add"":"""&amp;F5&amp;""""&amp;","&amp;"""allowInsecure"":0,""method"":""none"",""peer"":"""&amp;C5&amp;""",""sni"":"""&amp;C5&amp;"""}"),"")</f>
        <v>vmess://ICB7InBvcnQiOjQ0MywicHMiOiJBV1M0X1ZNZXNzX1dTIiwidGxzIjoidGxzIiwiaWQiOiJmOTc5OTU3NS04ZDRjLTQxODItYjEzZS1hYWRkYTMwNWQ0ZGEiLCJhaWQiOjAsInYiOjIsImhvc3QiOiJhd3M0LmVkdS50dyIsInR5cGUiOiJub25lIiwicGF0aCI6Ii9lZHV0d3Z3cyIsIm5ldCI6IndzIiwiYWRkIjoiY2YyMi5lcmF3LmV1Lm9yZyIsImFsbG93SW5zZWN1cmUiOjAsIm1ldGhvZCI6Im5vbmUiLCJwZWVyIjoiYXdzNC5lZHUudHciLCJzbmkiOiJhd3M0LmVkdS50dyJ9</v>
      </c>
      <c r="N5" s="84" t="str">
        <f t="shared" si="7"/>
        <v>trojan://f9799575-8d4c-4182-b13e-aadda305d4da@aws4.era.eu.org:443?peer=aws4.edu.tw&amp;fp=chrome&amp;sni=aws4.edu.tw&amp;alpn=http/1.1#AWS4_Trojan</v>
      </c>
      <c r="O5" s="84" t="str">
        <f t="shared" si="8"/>
        <v xml:space="preserve"> vless://f9799575-8d4c-4182-b13e-aadda305d4da@aws4.era.eu.org:443?encryption=none&amp;security=tls&amp;fp=chrome&amp;type=tcp&amp;host=aws4.edu.tw&amp;headerType=none&amp;sni=aws4.edu.tw&amp;flow=xtls-rprx-vision#AWS4_VLESS_TLS</v>
      </c>
    </row>
    <row r="6" spans="1:15" x14ac:dyDescent="0.25">
      <c r="A6" s="45">
        <v>5</v>
      </c>
      <c r="B6" s="46" t="str" cm="1">
        <f t="array" ref="B6">IFERROR(_xlfn._xlws.FILTER(节点信息!$C$3:$C$27,节点信息!$D$3:$D$27=$B$31),"")</f>
        <v>f9799575-8d4c-4182-b13e-aadda305d4da</v>
      </c>
      <c r="C6" s="31" t="str">
        <f>IF(B6&lt;&gt;"","aws4.edu.tw","")</f>
        <v>aws4.edu.tw</v>
      </c>
      <c r="D6" s="47" t="str">
        <f>IF(B6&lt;&gt;"","edutw","")</f>
        <v>edutw</v>
      </c>
      <c r="E6" s="47" t="str">
        <f t="shared" si="0"/>
        <v>aws4.era.eu.org</v>
      </c>
      <c r="F6" s="47" t="s">
        <v>532</v>
      </c>
      <c r="G6" s="139" t="str">
        <f t="shared" si="2"/>
        <v>AWS4_VMess_WS = vmess, cf23.eraw.eu.org, 443, username=f9799575-8d4c-4182-b13e-aadda305d4da, ws=true, tls=true, ws-path=/edutwvws, skip-cert-verify=false, udp-relay=false, vmess-aead=true, ws-headers=Host:aws4.edu.tw, sni=aws4.edu.tw</v>
      </c>
      <c r="H6" s="125" t="str">
        <f t="shared" si="3"/>
        <v>vless://f9799575-8d4c-4182-b13e-aadda305d4da@aws4.era.eu.org:4567?encryption=none&amp;security=reality&amp;type=tcp&amp;sni=aws4.edu.tw&amp;fp=chrome&amp;pbk=swgXIpGcJF34pYYwjPznkG4jZ6dH8oLaO2ImCbFTMVE&amp;sid=6ba85179e30d4fc2&amp;flow=xtls-rprx-vision#AWS4_Reality_TLS</v>
      </c>
      <c r="I6" s="125" t="str">
        <f t="shared" si="4"/>
        <v>vless://f9799575-8d4c-4182-b13e-aadda305d4da@aws4.era.eu.org:4567?encryption=none&amp;security=reality&amp;type=grpc&amp;sni=aws4.edu.tw&amp;fp=chrome&amp;pbk=swgXIpGcJF34pYYwjPznkG4jZ6dH8oLaO2ImCbFTMVE&amp;sid=6ba85179e30d4fc2&amp;path=grpc&amp;serviceName=grpc#AWS4_Reality_gRPC</v>
      </c>
      <c r="J6" s="84" t="str">
        <f t="shared" si="5"/>
        <v xml:space="preserve"> vless://f9799575-8d4c-4182-b13e-aadda305d4da@cf23.eraw.eu.org:443?encryption=none&amp;security=tls&amp;type=ws&amp;host=aws4.edu.tw&amp;sni=aws4.edu.tw&amp;fp=chrome&amp;path=/edutwws#AWS4_VLESS_WS</v>
      </c>
      <c r="K6" s="84" t="str">
        <f t="shared" si="6"/>
        <v>vless://f9799575-8d4c-4182-b13e-aadda305d4da@cf23.eraw.eu.org:443?encryption=none&amp;security=tls&amp;type=grpc&amp;host=aws4.edu.tw&amp;path=edutwgrpc&amp;fp=chrome&amp;serviceName=edutwgrpc&amp;alpn=h2&amp;sni=aws4.edu.tw#AWS4_VLESS_gRPC</v>
      </c>
      <c r="L6" s="84" t="str">
        <f t="shared" si="1"/>
        <v>trojan://f9799575-8d4c-4182-b13e-aadda305d4da@cf23.eraw.eu.org:443?encryption=none&amp;peer=aws4.edu.tw&amp;fp=chrome&amp;security=tls&amp;type=grpc&amp;sni=aws4.edu.tw&amp;alpn=h2&amp;path=edutwtrojangrpc&amp;serviceName=edutwtrojangrpc#AWS4_Trojan_gRPC</v>
      </c>
      <c r="M6" s="84" t="str" cm="1">
        <f t="array" ref="M6">IF(B6&lt;&gt;"","vmess://"&amp;EncodeBase64("  {""port"":443,""ps"""&amp;":"""&amp;UPPER(LEFT(C6,FIND(".",C6)-1))&amp;"_VMess_WS"",""tls"":""tls"",""id"":"""&amp;B6&amp;""",""aid"":0,""v"":2,""host"":"""&amp;C6&amp;""",""type"":""none"",""path"":""/"&amp;D6&amp;"vws"&amp;""",""net"":""ws"",""add"":"""&amp;F6&amp;""""&amp;","&amp;"""allowInsecure"":0,""method"":""none"",""peer"":"""&amp;C6&amp;""",""sni"":"""&amp;C6&amp;"""}"),"")</f>
        <v>vmess://ICB7InBvcnQiOjQ0MywicHMiOiJBV1M0X1ZNZXNzX1dTIiwidGxzIjoidGxzIiwiaWQiOiJmOTc5OTU3NS04ZDRjLTQxODItYjEzZS1hYWRkYTMwNWQ0ZGEiLCJhaWQiOjAsInYiOjIsImhvc3QiOiJhd3M0LmVkdS50dyIsInR5cGUiOiJub25lIiwicGF0aCI6Ii9lZHV0d3Z3cyIsIm5ldCI6IndzIiwiYWRkIjoiY2YyMy5lcmF3LmV1Lm9yZyIsImFsbG93SW5zZWN1cmUiOjAsIm1ldGhvZCI6Im5vbmUiLCJwZWVyIjoiYXdzNC5lZHUudHciLCJzbmkiOiJhd3M0LmVkdS50dyJ9</v>
      </c>
      <c r="N6" s="84" t="str">
        <f t="shared" si="7"/>
        <v>trojan://f9799575-8d4c-4182-b13e-aadda305d4da@aws4.era.eu.org:443?peer=aws4.edu.tw&amp;fp=chrome&amp;sni=aws4.edu.tw&amp;alpn=http/1.1#AWS4_Trojan</v>
      </c>
      <c r="O6" s="84" t="str">
        <f t="shared" si="8"/>
        <v xml:space="preserve"> vless://f9799575-8d4c-4182-b13e-aadda305d4da@aws4.era.eu.org:443?encryption=none&amp;security=tls&amp;fp=chrome&amp;type=tcp&amp;host=aws4.edu.tw&amp;headerType=none&amp;sni=aws4.edu.tw&amp;flow=xtls-rprx-vision#AWS4_VLESS_TLS</v>
      </c>
    </row>
    <row r="7" spans="1:15" x14ac:dyDescent="0.25">
      <c r="A7" s="45">
        <v>6</v>
      </c>
      <c r="B7" s="46" t="str" cm="1">
        <f t="array" ref="B7">IFERROR(_xlfn._xlws.FILTER(节点信息!$C$3:$C$27,节点信息!$D$3:$D$27=$B$31),"")</f>
        <v>f9799575-8d4c-4182-b13e-aadda305d4da</v>
      </c>
      <c r="C7" s="31" t="str">
        <f>IF(B7&lt;&gt;"","aws6.edu.tw","")</f>
        <v>aws6.edu.tw</v>
      </c>
      <c r="D7" s="47" t="str">
        <f>IF(B7&lt;&gt;"","edutw","")</f>
        <v>edutw</v>
      </c>
      <c r="E7" s="47" t="str">
        <f t="shared" si="0"/>
        <v>aws6.era.eu.org</v>
      </c>
      <c r="F7" s="47" t="s">
        <v>533</v>
      </c>
      <c r="G7" s="139" t="str">
        <f t="shared" si="2"/>
        <v>AWS6_VMess_WS = vmess, cf24.eraw.eu.org, 443, username=f9799575-8d4c-4182-b13e-aadda305d4da, ws=true, tls=true, ws-path=/edutwvws, skip-cert-verify=false, udp-relay=false, vmess-aead=true, ws-headers=Host:aws6.edu.tw, sni=aws6.edu.tw</v>
      </c>
      <c r="H7" s="125" t="str">
        <f t="shared" si="3"/>
        <v>vless://f9799575-8d4c-4182-b13e-aadda305d4da@aws6.era.eu.org:4567?encryption=none&amp;security=reality&amp;type=tcp&amp;sni=aws6.edu.tw&amp;fp=chrome&amp;pbk=swgXIpGcJF34pYYwjPznkG4jZ6dH8oLaO2ImCbFTMVE&amp;sid=6ba85179e30d4fc2&amp;flow=xtls-rprx-vision#AWS6_Reality_TLS</v>
      </c>
      <c r="I7" s="125" t="str">
        <f t="shared" si="4"/>
        <v>vless://f9799575-8d4c-4182-b13e-aadda305d4da@aws6.era.eu.org:4567?encryption=none&amp;security=reality&amp;type=grpc&amp;sni=aws6.edu.tw&amp;fp=chrome&amp;pbk=swgXIpGcJF34pYYwjPznkG4jZ6dH8oLaO2ImCbFTMVE&amp;sid=6ba85179e30d4fc2&amp;path=grpc&amp;serviceName=grpc#AWS6_Reality_gRPC</v>
      </c>
      <c r="J7" s="84" t="str">
        <f t="shared" si="5"/>
        <v xml:space="preserve"> vless://f9799575-8d4c-4182-b13e-aadda305d4da@cf24.eraw.eu.org:443?encryption=none&amp;security=tls&amp;type=ws&amp;host=aws6.edu.tw&amp;sni=aws6.edu.tw&amp;fp=chrome&amp;path=/edutwws#AWS6_VLESS_WS</v>
      </c>
      <c r="K7" s="84" t="str">
        <f t="shared" si="6"/>
        <v>vless://f9799575-8d4c-4182-b13e-aadda305d4da@cf24.eraw.eu.org:443?encryption=none&amp;security=tls&amp;type=grpc&amp;host=aws6.edu.tw&amp;path=edutwgrpc&amp;fp=chrome&amp;serviceName=edutwgrpc&amp;alpn=h2&amp;sni=aws6.edu.tw#AWS6_VLESS_gRPC</v>
      </c>
      <c r="L7" s="84" t="str">
        <f t="shared" si="1"/>
        <v>trojan://f9799575-8d4c-4182-b13e-aadda305d4da@cf24.eraw.eu.org:443?encryption=none&amp;peer=aws6.edu.tw&amp;fp=chrome&amp;security=tls&amp;type=grpc&amp;sni=aws6.edu.tw&amp;alpn=h2&amp;path=edutwtrojangrpc&amp;serviceName=edutwtrojangrpc#AWS6_Trojan_gRPC</v>
      </c>
      <c r="M7" s="84" t="str" cm="1">
        <f t="array" ref="M7">IF(B7&lt;&gt;"","vmess://"&amp;EncodeBase64("  {""port"":443,""ps"""&amp;":"""&amp;UPPER(LEFT(C7,FIND(".",C7)-1))&amp;"_VMess_WS"",""tls"":""tls"",""id"":"""&amp;B7&amp;""",""aid"":0,""v"":2,""host"":"""&amp;C7&amp;""",""type"":""none"",""path"":""/"&amp;D7&amp;"vws"&amp;""",""net"":""ws"",""add"":"""&amp;F7&amp;""""&amp;","&amp;"""allowInsecure"":0,""method"":""none"",""peer"":"""&amp;C7&amp;""",""sni"":"""&amp;C7&amp;"""}"),"")</f>
        <v>vmess://ICB7InBvcnQiOjQ0MywicHMiOiJBV1M2X1ZNZXNzX1dTIiwidGxzIjoidGxzIiwiaWQiOiJmOTc5OTU3NS04ZDRjLTQxODItYjEzZS1hYWRkYTMwNWQ0ZGEiLCJhaWQiOjAsInYiOjIsImhvc3QiOiJhd3M2LmVkdS50dyIsInR5cGUiOiJub25lIiwicGF0aCI6Ii9lZHV0d3Z3cyIsIm5ldCI6IndzIiwiYWRkIjoiY2YyNC5lcmF3LmV1Lm9yZyIsImFsbG93SW5zZWN1cmUiOjAsIm1ldGhvZCI6Im5vbmUiLCJwZWVyIjoiYXdzNi5lZHUudHciLCJzbmkiOiJhd3M2LmVkdS50dyJ9</v>
      </c>
      <c r="N7" s="84" t="str">
        <f t="shared" si="7"/>
        <v>trojan://f9799575-8d4c-4182-b13e-aadda305d4da@aws6.era.eu.org:443?peer=aws6.edu.tw&amp;fp=chrome&amp;sni=aws6.edu.tw&amp;alpn=http/1.1#AWS6_Trojan</v>
      </c>
      <c r="O7" s="84" t="str">
        <f t="shared" si="8"/>
        <v xml:space="preserve"> vless://f9799575-8d4c-4182-b13e-aadda305d4da@aws6.era.eu.org:443?encryption=none&amp;security=tls&amp;fp=chrome&amp;type=tcp&amp;host=aws6.edu.tw&amp;headerType=none&amp;sni=aws6.edu.tw&amp;flow=xtls-rprx-vision#AWS6_VLESS_TLS</v>
      </c>
    </row>
    <row r="8" spans="1:15" x14ac:dyDescent="0.25">
      <c r="A8" s="45">
        <v>7</v>
      </c>
      <c r="B8" s="46" t="str" cm="1">
        <f t="array" ref="B8">IFERROR(_xlfn._xlws.FILTER(节点信息!$C$3:$C$27,节点信息!$D$3:$D$27=$B$31),"")</f>
        <v>f9799575-8d4c-4182-b13e-aadda305d4da</v>
      </c>
      <c r="C8" s="31" t="str">
        <f>IF(B8&lt;&gt;"","aws7.edu.tw","")</f>
        <v>aws7.edu.tw</v>
      </c>
      <c r="D8" s="47" t="str">
        <f>IF(B8&lt;&gt;"","edutw","")</f>
        <v>edutw</v>
      </c>
      <c r="E8" s="47" t="str">
        <f t="shared" si="0"/>
        <v>aws7.era.eu.org</v>
      </c>
      <c r="F8" s="47" t="s">
        <v>534</v>
      </c>
      <c r="G8" s="139" t="str">
        <f t="shared" si="2"/>
        <v>AWS7_VMess_WS = vmess, cf25.eraw.eu.org, 443, username=f9799575-8d4c-4182-b13e-aadda305d4da, ws=true, tls=true, ws-path=/edutwvws, skip-cert-verify=false, udp-relay=false, vmess-aead=true, ws-headers=Host:aws7.edu.tw, sni=aws7.edu.tw</v>
      </c>
      <c r="H8" s="125" t="str">
        <f t="shared" si="3"/>
        <v>vless://f9799575-8d4c-4182-b13e-aadda305d4da@aws7.era.eu.org:4567?encryption=none&amp;security=reality&amp;type=tcp&amp;sni=aws7.edu.tw&amp;fp=chrome&amp;pbk=swgXIpGcJF34pYYwjPznkG4jZ6dH8oLaO2ImCbFTMVE&amp;sid=6ba85179e30d4fc2&amp;flow=xtls-rprx-vision#AWS7_Reality_TLS</v>
      </c>
      <c r="I8" s="125" t="str">
        <f t="shared" si="4"/>
        <v>vless://f9799575-8d4c-4182-b13e-aadda305d4da@aws7.era.eu.org:4567?encryption=none&amp;security=reality&amp;type=grpc&amp;sni=aws7.edu.tw&amp;fp=chrome&amp;pbk=swgXIpGcJF34pYYwjPznkG4jZ6dH8oLaO2ImCbFTMVE&amp;sid=6ba85179e30d4fc2&amp;path=grpc&amp;serviceName=grpc#AWS7_Reality_gRPC</v>
      </c>
      <c r="J8" s="84" t="str">
        <f t="shared" si="5"/>
        <v xml:space="preserve"> vless://f9799575-8d4c-4182-b13e-aadda305d4da@cf25.eraw.eu.org:443?encryption=none&amp;security=tls&amp;type=ws&amp;host=aws7.edu.tw&amp;sni=aws7.edu.tw&amp;fp=chrome&amp;path=/edutwws#AWS7_VLESS_WS</v>
      </c>
      <c r="K8" s="84" t="str">
        <f t="shared" si="6"/>
        <v>vless://f9799575-8d4c-4182-b13e-aadda305d4da@cf25.eraw.eu.org:443?encryption=none&amp;security=tls&amp;type=grpc&amp;host=aws7.edu.tw&amp;path=edutwgrpc&amp;fp=chrome&amp;serviceName=edutwgrpc&amp;alpn=h2&amp;sni=aws7.edu.tw#AWS7_VLESS_gRPC</v>
      </c>
      <c r="L8" s="84" t="str">
        <f t="shared" si="1"/>
        <v>trojan://f9799575-8d4c-4182-b13e-aadda305d4da@cf25.eraw.eu.org:443?encryption=none&amp;peer=aws7.edu.tw&amp;fp=chrome&amp;security=tls&amp;type=grpc&amp;sni=aws7.edu.tw&amp;alpn=h2&amp;path=edutwtrojangrpc&amp;serviceName=edutwtrojangrpc#AWS7_Trojan_gRPC</v>
      </c>
      <c r="M8" s="84" t="str" cm="1">
        <f t="array" ref="M8">IF(B8&lt;&gt;"","vmess://"&amp;EncodeBase64("  {""port"":443,""ps"""&amp;":"""&amp;UPPER(LEFT(C8,FIND(".",C8)-1))&amp;"_VMess_WS"",""tls"":""tls"",""id"":"""&amp;B8&amp;""",""aid"":0,""v"":2,""host"":"""&amp;C8&amp;""",""type"":""none"",""path"":""/"&amp;D8&amp;"vws"&amp;""",""net"":""ws"",""add"":"""&amp;F8&amp;""""&amp;","&amp;"""allowInsecure"":0,""method"":""none"",""peer"":"""&amp;C8&amp;""",""sni"":"""&amp;C8&amp;"""}"),"")</f>
        <v>vmess://ICB7InBvcnQiOjQ0MywicHMiOiJBV1M3X1ZNZXNzX1dTIiwidGxzIjoidGxzIiwiaWQiOiJmOTc5OTU3NS04ZDRjLTQxODItYjEzZS1hYWRkYTMwNWQ0ZGEiLCJhaWQiOjAsInYiOjIsImhvc3QiOiJhd3M3LmVkdS50dyIsInR5cGUiOiJub25lIiwicGF0aCI6Ii9lZHV0d3Z3cyIsIm5ldCI6IndzIiwiYWRkIjoiY2YyNS5lcmF3LmV1Lm9yZyIsImFsbG93SW5zZWN1cmUiOjAsIm1ldGhvZCI6Im5vbmUiLCJwZWVyIjoiYXdzNy5lZHUudHciLCJzbmkiOiJhd3M3LmVkdS50dyJ9</v>
      </c>
      <c r="N8" s="84" t="str">
        <f t="shared" si="7"/>
        <v>trojan://f9799575-8d4c-4182-b13e-aadda305d4da@aws7.era.eu.org:443?peer=aws7.edu.tw&amp;fp=chrome&amp;sni=aws7.edu.tw&amp;alpn=http/1.1#AWS7_Trojan</v>
      </c>
      <c r="O8" s="84" t="str">
        <f t="shared" si="8"/>
        <v xml:space="preserve"> vless://f9799575-8d4c-4182-b13e-aadda305d4da@aws7.era.eu.org:443?encryption=none&amp;security=tls&amp;fp=chrome&amp;type=tcp&amp;host=aws7.edu.tw&amp;headerType=none&amp;sni=aws7.edu.tw&amp;flow=xtls-rprx-vision#AWS7_VLESS_TLS</v>
      </c>
    </row>
    <row r="9" spans="1:15" x14ac:dyDescent="0.25">
      <c r="A9" s="45">
        <v>8</v>
      </c>
      <c r="B9" s="46" t="str" cm="1">
        <f t="array" ref="B9">IFERROR(_xlfn._xlws.FILTER(节点信息!$C$3:$C$27,节点信息!$D$3:$D$27=$B$31),"")</f>
        <v>f9799575-8d4c-4182-b13e-aadda305d4da</v>
      </c>
      <c r="C9" s="31" t="str">
        <f>IF(B9&lt;&gt;"","aws8.edu.tw","")</f>
        <v>aws8.edu.tw</v>
      </c>
      <c r="D9" s="47" t="str">
        <f>IF(B9&lt;&gt;"","edutw","")</f>
        <v>edutw</v>
      </c>
      <c r="E9" s="47" t="str">
        <f t="shared" si="0"/>
        <v>aws8.era.eu.org</v>
      </c>
      <c r="F9" s="47" t="s">
        <v>535</v>
      </c>
      <c r="G9" s="139" t="str">
        <f t="shared" si="2"/>
        <v>AWS8_VMess_WS = vmess, cf26.eraw.eu.org, 443, username=f9799575-8d4c-4182-b13e-aadda305d4da, ws=true, tls=true, ws-path=/edutwvws, skip-cert-verify=false, udp-relay=false, vmess-aead=true, ws-headers=Host:aws8.edu.tw, sni=aws8.edu.tw</v>
      </c>
      <c r="H9" s="125" t="str">
        <f t="shared" si="3"/>
        <v>vless://f9799575-8d4c-4182-b13e-aadda305d4da@aws8.era.eu.org:4567?encryption=none&amp;security=reality&amp;type=tcp&amp;sni=aws8.edu.tw&amp;fp=chrome&amp;pbk=swgXIpGcJF34pYYwjPznkG4jZ6dH8oLaO2ImCbFTMVE&amp;sid=6ba85179e30d4fc2&amp;flow=xtls-rprx-vision#AWS8_Reality_TLS</v>
      </c>
      <c r="I9" s="125" t="str">
        <f t="shared" si="4"/>
        <v>vless://f9799575-8d4c-4182-b13e-aadda305d4da@aws8.era.eu.org:4567?encryption=none&amp;security=reality&amp;type=grpc&amp;sni=aws8.edu.tw&amp;fp=chrome&amp;pbk=swgXIpGcJF34pYYwjPznkG4jZ6dH8oLaO2ImCbFTMVE&amp;sid=6ba85179e30d4fc2&amp;path=grpc&amp;serviceName=grpc#AWS8_Reality_gRPC</v>
      </c>
      <c r="J9" s="84" t="str">
        <f t="shared" si="5"/>
        <v xml:space="preserve"> vless://f9799575-8d4c-4182-b13e-aadda305d4da@cf26.eraw.eu.org:443?encryption=none&amp;security=tls&amp;type=ws&amp;host=aws8.edu.tw&amp;sni=aws8.edu.tw&amp;fp=chrome&amp;path=/edutwws#AWS8_VLESS_WS</v>
      </c>
      <c r="K9" s="84" t="str">
        <f t="shared" si="6"/>
        <v>vless://f9799575-8d4c-4182-b13e-aadda305d4da@cf26.eraw.eu.org:443?encryption=none&amp;security=tls&amp;type=grpc&amp;host=aws8.edu.tw&amp;path=edutwgrpc&amp;fp=chrome&amp;serviceName=edutwgrpc&amp;alpn=h2&amp;sni=aws8.edu.tw#AWS8_VLESS_gRPC</v>
      </c>
      <c r="L9" s="84" t="str">
        <f t="shared" si="1"/>
        <v>trojan://f9799575-8d4c-4182-b13e-aadda305d4da@cf26.eraw.eu.org:443?encryption=none&amp;peer=aws8.edu.tw&amp;fp=chrome&amp;security=tls&amp;type=grpc&amp;sni=aws8.edu.tw&amp;alpn=h2&amp;path=edutwtrojangrpc&amp;serviceName=edutwtrojangrpc#AWS8_Trojan_gRPC</v>
      </c>
      <c r="M9" s="84" t="str" cm="1">
        <f t="array" ref="M9">IF(B9&lt;&gt;"","vmess://"&amp;EncodeBase64("  {""port"":443,""ps"""&amp;":"""&amp;UPPER(LEFT(C9,FIND(".",C9)-1))&amp;"_VMess_WS"",""tls"":""tls"",""id"":"""&amp;B9&amp;""",""aid"":0,""v"":2,""host"":"""&amp;C9&amp;""",""type"":""none"",""path"":""/"&amp;D9&amp;"vws"&amp;""",""net"":""ws"",""add"":"""&amp;F9&amp;""""&amp;","&amp;"""allowInsecure"":0,""method"":""none"",""peer"":"""&amp;C9&amp;""",""sni"":"""&amp;C9&amp;"""}"),"")</f>
        <v>vmess://ICB7InBvcnQiOjQ0MywicHMiOiJBV1M4X1ZNZXNzX1dTIiwidGxzIjoidGxzIiwiaWQiOiJmOTc5OTU3NS04ZDRjLTQxODItYjEzZS1hYWRkYTMwNWQ0ZGEiLCJhaWQiOjAsInYiOjIsImhvc3QiOiJhd3M4LmVkdS50dyIsInR5cGUiOiJub25lIiwicGF0aCI6Ii9lZHV0d3Z3cyIsIm5ldCI6IndzIiwiYWRkIjoiY2YyNi5lcmF3LmV1Lm9yZyIsImFsbG93SW5zZWN1cmUiOjAsIm1ldGhvZCI6Im5vbmUiLCJwZWVyIjoiYXdzOC5lZHUudHciLCJzbmkiOiJhd3M4LmVkdS50dyJ9</v>
      </c>
      <c r="N9" s="84" t="str">
        <f t="shared" si="7"/>
        <v>trojan://f9799575-8d4c-4182-b13e-aadda305d4da@aws8.era.eu.org:443?peer=aws8.edu.tw&amp;fp=chrome&amp;sni=aws8.edu.tw&amp;alpn=http/1.1#AWS8_Trojan</v>
      </c>
      <c r="O9" s="84" t="str">
        <f t="shared" si="8"/>
        <v xml:space="preserve"> vless://f9799575-8d4c-4182-b13e-aadda305d4da@aws8.era.eu.org:443?encryption=none&amp;security=tls&amp;fp=chrome&amp;type=tcp&amp;host=aws8.edu.tw&amp;headerType=none&amp;sni=aws8.edu.tw&amp;flow=xtls-rprx-vision#AWS8_VLESS_TLS</v>
      </c>
    </row>
    <row r="10" spans="1:15" x14ac:dyDescent="0.25">
      <c r="A10" s="45">
        <v>9</v>
      </c>
      <c r="B10" s="46" t="str" cm="1">
        <f t="array" ref="B10">IFERROR(_xlfn._xlws.FILTER(节点信息!$C$30:$C$50,节点信息!$D$30:$D$50=$B$31),"")</f>
        <v>c3a00264-8e41-4806-b4b7-77f797e836e3</v>
      </c>
      <c r="C10" s="31" t="str">
        <f>IF(B10&lt;&gt;"",节点信息!B30,"")</f>
        <v>sv0.edu.tw</v>
      </c>
      <c r="D10" s="47" t="str">
        <f>IF(B10&lt;&gt;"","edutw","")</f>
        <v>edutw</v>
      </c>
      <c r="E10" s="47" t="str">
        <f t="shared" si="0"/>
        <v>sv0.era.eu.org</v>
      </c>
      <c r="F10" s="47" t="s">
        <v>536</v>
      </c>
      <c r="G10" s="139" t="str">
        <f t="shared" si="2"/>
        <v>SV0_VMess_WS = vmess, cf27.eraw.eu.org, 443, username=c3a00264-8e41-4806-b4b7-77f797e836e3, ws=true, tls=true, ws-path=/edutwvws, skip-cert-verify=false, udp-relay=false, vmess-aead=true, ws-headers=Host:sv0.edu.tw, sni=sv0.edu.tw</v>
      </c>
      <c r="H10" s="125" t="str">
        <f t="shared" si="3"/>
        <v>vless://c3a00264-8e41-4806-b4b7-77f797e836e3@sv0.era.eu.org:4567?encryption=none&amp;security=reality&amp;type=tcp&amp;sni=sv0.edu.tw&amp;fp=chrome&amp;pbk=swgXIpGcJF34pYYwjPznkG4jZ6dH8oLaO2ImCbFTMVE&amp;sid=6ba85179e30d4fc2&amp;flow=xtls-rprx-vision#SV0_Reality_TLS</v>
      </c>
      <c r="I10" s="125" t="str">
        <f t="shared" si="4"/>
        <v>vless://c3a00264-8e41-4806-b4b7-77f797e836e3@sv0.era.eu.org:4567?encryption=none&amp;security=reality&amp;type=grpc&amp;sni=sv0.edu.tw&amp;fp=chrome&amp;pbk=swgXIpGcJF34pYYwjPznkG4jZ6dH8oLaO2ImCbFTMVE&amp;sid=6ba85179e30d4fc2&amp;path=grpc&amp;serviceName=grpc#SV0_Reality_gRPC</v>
      </c>
      <c r="J10" s="84" t="str">
        <f t="shared" si="5"/>
        <v xml:space="preserve"> vless://c3a00264-8e41-4806-b4b7-77f797e836e3@cf27.eraw.eu.org:443?encryption=none&amp;security=tls&amp;type=ws&amp;host=sv0.edu.tw&amp;sni=sv0.edu.tw&amp;fp=chrome&amp;path=/edutwws#SV0_VLESS_WS</v>
      </c>
      <c r="K10" s="84" t="str">
        <f t="shared" si="6"/>
        <v>vless://c3a00264-8e41-4806-b4b7-77f797e836e3@cf27.eraw.eu.org:443?encryption=none&amp;security=tls&amp;type=grpc&amp;host=sv0.edu.tw&amp;path=edutwgrpc&amp;fp=chrome&amp;serviceName=edutwgrpc&amp;alpn=h2&amp;sni=sv0.edu.tw#SV0_VLESS_gRPC</v>
      </c>
      <c r="L10" s="84" t="str">
        <f t="shared" si="1"/>
        <v>trojan://c3a00264-8e41-4806-b4b7-77f797e836e3@cf27.eraw.eu.org:443?encryption=none&amp;peer=sv0.edu.tw&amp;fp=chrome&amp;security=tls&amp;type=grpc&amp;sni=sv0.edu.tw&amp;alpn=h2&amp;path=edutwtrojangrpc&amp;serviceName=edutwtrojangrpc#SV0_Trojan_gRPC</v>
      </c>
      <c r="M10" s="84" t="str" cm="1">
        <f t="array" ref="M10">IF(B10&lt;&gt;"","vmess://"&amp;EncodeBase64("  {""port"":443,""ps"""&amp;":"""&amp;UPPER(LEFT(C10,FIND(".",C10)-1))&amp;"_VMess_WS"",""tls"":""tls"",""id"":"""&amp;B10&amp;""",""aid"":0,""v"":2,""host"":"""&amp;C10&amp;""",""type"":""none"",""path"":""/"&amp;D10&amp;"vws"&amp;""",""net"":""ws"",""add"":"""&amp;F10&amp;""""&amp;","&amp;"""allowInsecure"":0,""method"":""none"",""peer"":"""&amp;C10&amp;""",""sni"":"""&amp;C10&amp;"""}"),"")</f>
        <v>vmess://ICB7InBvcnQiOjQ0MywicHMiOiJTVjBfVk1lc3NfV1MiLCJ0bHMiOiJ0bHMiLCJpZCI6ImMzYTAwMjY0LThlNDEtNDgwNi1iNGI3LTc3Zjc5N2U4MzZlMyIsImFpZCI6MCwidiI6MiwiaG9zdCI6InN2MC5lZHUudHciLCJ0eXBlIjoibm9uZSIsInBhdGgiOiIvZWR1dHd2d3MiLCJuZXQiOiJ3cyIsImFkZCI6ImNmMjcuZXJhdy5ldS5vcmciLCJhbGxvd0luc2VjdXJlIjowLCJtZXRob2QiOiJub25lIiwicGVlciI6InN2MC5lZHUudHciLCJzbmkiOiJzdjAuZWR1LnR3In0=</v>
      </c>
      <c r="N10" s="84" t="str">
        <f t="shared" si="7"/>
        <v>trojan://c3a00264-8e41-4806-b4b7-77f797e836e3@sv0.era.eu.org:443?peer=sv0.edu.tw&amp;fp=chrome&amp;sni=sv0.edu.tw&amp;alpn=http/1.1#SV0_Trojan</v>
      </c>
      <c r="O10" s="84" t="str">
        <f t="shared" si="8"/>
        <v xml:space="preserve"> vless://c3a00264-8e41-4806-b4b7-77f797e836e3@sv0.era.eu.org:443?encryption=none&amp;security=tls&amp;fp=chrome&amp;type=tcp&amp;host=sv0.edu.tw&amp;headerType=none&amp;sni=sv0.edu.tw&amp;flow=xtls-rprx-vision#SV0_VLESS_TLS</v>
      </c>
    </row>
    <row r="11" spans="1:15" x14ac:dyDescent="0.25">
      <c r="A11" s="45">
        <v>10</v>
      </c>
      <c r="B11" s="46" t="str" cm="1">
        <f t="array" ref="B11">IFERROR(_xlfn._xlws.FILTER(节点信息!$G$30:$G$50,节点信息!$H$30:$H$50=$B$31),"")</f>
        <v>bafaea7b-0e45-4232-964b-df81cca16ca8</v>
      </c>
      <c r="C11" s="31" t="str">
        <f>IF(B11&lt;&gt;"",节点信息!F30,"")</f>
        <v>sv1.edu.tw</v>
      </c>
      <c r="D11" s="47" t="str">
        <f>IF(B11&lt;&gt;"","edutw","")</f>
        <v>edutw</v>
      </c>
      <c r="E11" s="47" t="str">
        <f t="shared" si="0"/>
        <v>sv1.era.eu.org</v>
      </c>
      <c r="F11" s="47" t="s">
        <v>537</v>
      </c>
      <c r="G11" s="139" t="str">
        <f t="shared" si="2"/>
        <v>SV1_VMess_WS = vmess, cf28.eraw.eu.org, 443, username=bafaea7b-0e45-4232-964b-df81cca16ca8, ws=true, tls=true, ws-path=/edutwvws, skip-cert-verify=false, udp-relay=false, vmess-aead=true, ws-headers=Host:sv1.edu.tw, sni=sv1.edu.tw</v>
      </c>
      <c r="H11" s="125" t="str">
        <f t="shared" si="3"/>
        <v>vless://bafaea7b-0e45-4232-964b-df81cca16ca8@sv1.era.eu.org:4567?encryption=none&amp;security=reality&amp;type=tcp&amp;sni=sv1.edu.tw&amp;fp=chrome&amp;pbk=swgXIpGcJF34pYYwjPznkG4jZ6dH8oLaO2ImCbFTMVE&amp;sid=6ba85179e30d4fc2&amp;flow=xtls-rprx-vision#SV1_Reality_TLS</v>
      </c>
      <c r="I11" s="125" t="str">
        <f t="shared" si="4"/>
        <v>vless://bafaea7b-0e45-4232-964b-df81cca16ca8@sv1.era.eu.org:4567?encryption=none&amp;security=reality&amp;type=grpc&amp;sni=sv1.edu.tw&amp;fp=chrome&amp;pbk=swgXIpGcJF34pYYwjPznkG4jZ6dH8oLaO2ImCbFTMVE&amp;sid=6ba85179e30d4fc2&amp;path=grpc&amp;serviceName=grpc#SV1_Reality_gRPC</v>
      </c>
      <c r="J11" s="84" t="str">
        <f t="shared" si="5"/>
        <v xml:space="preserve"> vless://bafaea7b-0e45-4232-964b-df81cca16ca8@cf28.eraw.eu.org:443?encryption=none&amp;security=tls&amp;type=ws&amp;host=sv1.edu.tw&amp;sni=sv1.edu.tw&amp;fp=chrome&amp;path=/edutwws#SV1_VLESS_WS</v>
      </c>
      <c r="K11" s="84" t="str">
        <f t="shared" si="6"/>
        <v>vless://bafaea7b-0e45-4232-964b-df81cca16ca8@cf28.eraw.eu.org:443?encryption=none&amp;security=tls&amp;type=grpc&amp;host=sv1.edu.tw&amp;path=edutwgrpc&amp;fp=chrome&amp;serviceName=edutwgrpc&amp;alpn=h2&amp;sni=sv1.edu.tw#SV1_VLESS_gRPC</v>
      </c>
      <c r="L11" s="84" t="str">
        <f t="shared" si="1"/>
        <v>trojan://bafaea7b-0e45-4232-964b-df81cca16ca8@cf28.eraw.eu.org:443?encryption=none&amp;peer=sv1.edu.tw&amp;fp=chrome&amp;security=tls&amp;type=grpc&amp;sni=sv1.edu.tw&amp;alpn=h2&amp;path=edutwtrojangrpc&amp;serviceName=edutwtrojangrpc#SV1_Trojan_gRPC</v>
      </c>
      <c r="M11" s="84" t="str" cm="1">
        <f t="array" ref="M11">IF(B11&lt;&gt;"","vmess://"&amp;EncodeBase64("  {""port"":443,""ps"""&amp;":"""&amp;UPPER(LEFT(C11,FIND(".",C11)-1))&amp;"_VMess_WS"",""tls"":""tls"",""id"":"""&amp;B11&amp;""",""aid"":0,""v"":2,""host"":"""&amp;C11&amp;""",""type"":""none"",""path"":""/"&amp;D11&amp;"vws"&amp;""",""net"":""ws"",""add"":"""&amp;F11&amp;""""&amp;","&amp;"""allowInsecure"":0,""method"":""none"",""peer"":"""&amp;C11&amp;""",""sni"":"""&amp;C11&amp;"""}"),"")</f>
        <v>vmess://ICB7InBvcnQiOjQ0MywicHMiOiJTVjFfVk1lc3NfV1MiLCJ0bHMiOiJ0bHMiLCJpZCI6ImJhZmFlYTdiLTBlNDUtNDIzMi05NjRiLWRmODFjY2ExNmNhOCIsImFpZCI6MCwidiI6MiwiaG9zdCI6InN2MS5lZHUudHciLCJ0eXBlIjoibm9uZSIsInBhdGgiOiIvZWR1dHd2d3MiLCJuZXQiOiJ3cyIsImFkZCI6ImNmMjguZXJhdy5ldS5vcmciLCJhbGxvd0luc2VjdXJlIjowLCJtZXRob2QiOiJub25lIiwicGVlciI6InN2MS5lZHUudHciLCJzbmkiOiJzdjEuZWR1LnR3In0=</v>
      </c>
      <c r="N11" s="84" t="str">
        <f t="shared" si="7"/>
        <v>trojan://bafaea7b-0e45-4232-964b-df81cca16ca8@sv1.era.eu.org:443?peer=sv1.edu.tw&amp;fp=chrome&amp;sni=sv1.edu.tw&amp;alpn=http/1.1#SV1_Trojan</v>
      </c>
      <c r="O11" s="84" t="str">
        <f t="shared" si="8"/>
        <v xml:space="preserve"> vless://bafaea7b-0e45-4232-964b-df81cca16ca8@sv1.era.eu.org:443?encryption=none&amp;security=tls&amp;fp=chrome&amp;type=tcp&amp;host=sv1.edu.tw&amp;headerType=none&amp;sni=sv1.edu.tw&amp;flow=xtls-rprx-vision#SV1_VLESS_TLS</v>
      </c>
    </row>
    <row r="12" spans="1:15" x14ac:dyDescent="0.25">
      <c r="A12" s="45">
        <v>11</v>
      </c>
      <c r="B12" s="46" t="str" cm="1">
        <f t="array" ref="B12">IFERROR(_xlfn._xlws.FILTER(节点信息!$K$30:$K$50,节点信息!$L$30:$L$50=$B$31),"")</f>
        <v>a0142a2a-3a6a-4144-ab45-72baccfee66e</v>
      </c>
      <c r="C12" s="31" t="str">
        <f>IF(B12&lt;&gt;"",节点信息!J30,"")</f>
        <v>sv2.edu.tw</v>
      </c>
      <c r="D12" s="47" t="str">
        <f>IF(B12&lt;&gt;"","edutw","")</f>
        <v>edutw</v>
      </c>
      <c r="E12" s="47" t="str">
        <f t="shared" si="0"/>
        <v>sv2.era.eu.org</v>
      </c>
      <c r="F12" s="47" t="s">
        <v>538</v>
      </c>
      <c r="G12" s="139" t="str">
        <f t="shared" si="2"/>
        <v>SV2_VMess_WS = vmess, cf29.eraw.eu.org, 443, username=a0142a2a-3a6a-4144-ab45-72baccfee66e, ws=true, tls=true, ws-path=/edutwvws, skip-cert-verify=false, udp-relay=false, vmess-aead=true, ws-headers=Host:sv2.edu.tw, sni=sv2.edu.tw</v>
      </c>
      <c r="H12" s="125" t="str">
        <f t="shared" si="3"/>
        <v>vless://a0142a2a-3a6a-4144-ab45-72baccfee66e@sv2.era.eu.org:4567?encryption=none&amp;security=reality&amp;type=tcp&amp;sni=sv2.edu.tw&amp;fp=chrome&amp;pbk=swgXIpGcJF34pYYwjPznkG4jZ6dH8oLaO2ImCbFTMVE&amp;sid=6ba85179e30d4fc2&amp;flow=xtls-rprx-vision#SV2_Reality_TLS</v>
      </c>
      <c r="I12" s="125" t="str">
        <f t="shared" si="4"/>
        <v>vless://a0142a2a-3a6a-4144-ab45-72baccfee66e@sv2.era.eu.org:4567?encryption=none&amp;security=reality&amp;type=grpc&amp;sni=sv2.edu.tw&amp;fp=chrome&amp;pbk=swgXIpGcJF34pYYwjPznkG4jZ6dH8oLaO2ImCbFTMVE&amp;sid=6ba85179e30d4fc2&amp;path=grpc&amp;serviceName=grpc#SV2_Reality_gRPC</v>
      </c>
      <c r="J12" s="84" t="str">
        <f t="shared" si="5"/>
        <v xml:space="preserve"> vless://a0142a2a-3a6a-4144-ab45-72baccfee66e@cf29.eraw.eu.org:443?encryption=none&amp;security=tls&amp;type=ws&amp;host=sv2.edu.tw&amp;sni=sv2.edu.tw&amp;fp=chrome&amp;path=/edutwws#SV2_VLESS_WS</v>
      </c>
      <c r="K12" s="84" t="str">
        <f t="shared" si="6"/>
        <v>vless://a0142a2a-3a6a-4144-ab45-72baccfee66e@cf29.eraw.eu.org:443?encryption=none&amp;security=tls&amp;type=grpc&amp;host=sv2.edu.tw&amp;path=edutwgrpc&amp;fp=chrome&amp;serviceName=edutwgrpc&amp;alpn=h2&amp;sni=sv2.edu.tw#SV2_VLESS_gRPC</v>
      </c>
      <c r="L12" s="84" t="str">
        <f t="shared" si="1"/>
        <v>trojan://a0142a2a-3a6a-4144-ab45-72baccfee66e@cf29.eraw.eu.org:443?encryption=none&amp;peer=sv2.edu.tw&amp;fp=chrome&amp;security=tls&amp;type=grpc&amp;sni=sv2.edu.tw&amp;alpn=h2&amp;path=edutwtrojangrpc&amp;serviceName=edutwtrojangrpc#SV2_Trojan_gRPC</v>
      </c>
      <c r="M12" s="84" t="str" cm="1">
        <f t="array" ref="M12">IF(B12&lt;&gt;"","vmess://"&amp;EncodeBase64("  {""port"":443,""ps"""&amp;":"""&amp;UPPER(LEFT(C12,FIND(".",C12)-1))&amp;"_VMess_WS"",""tls"":""tls"",""id"":"""&amp;B12&amp;""",""aid"":0,""v"":2,""host"":"""&amp;C12&amp;""",""type"":""none"",""path"":""/"&amp;D12&amp;"vws"&amp;""",""net"":""ws"",""add"":"""&amp;F12&amp;""""&amp;","&amp;"""allowInsecure"":0,""method"":""none"",""peer"":"""&amp;C12&amp;""",""sni"":"""&amp;C12&amp;"""}"),"")</f>
        <v>vmess://ICB7InBvcnQiOjQ0MywicHMiOiJTVjJfVk1lc3NfV1MiLCJ0bHMiOiJ0bHMiLCJpZCI6ImEwMTQyYTJhLTNhNmEtNDE0NC1hYjQ1LTcyYmFjY2ZlZTY2ZSIsImFpZCI6MCwidiI6MiwiaG9zdCI6InN2Mi5lZHUudHciLCJ0eXBlIjoibm9uZSIsInBhdGgiOiIvZWR1dHd2d3MiLCJuZXQiOiJ3cyIsImFkZCI6ImNmMjkuZXJhdy5ldS5vcmciLCJhbGxvd0luc2VjdXJlIjowLCJtZXRob2QiOiJub25lIiwicGVlciI6InN2Mi5lZHUudHciLCJzbmkiOiJzdjIuZWR1LnR3In0=</v>
      </c>
      <c r="N12" s="84" t="str">
        <f t="shared" si="7"/>
        <v>trojan://a0142a2a-3a6a-4144-ab45-72baccfee66e@sv2.era.eu.org:443?peer=sv2.edu.tw&amp;fp=chrome&amp;sni=sv2.edu.tw&amp;alpn=http/1.1#SV2_Trojan</v>
      </c>
      <c r="O12" s="84" t="str">
        <f t="shared" si="8"/>
        <v xml:space="preserve"> vless://a0142a2a-3a6a-4144-ab45-72baccfee66e@sv2.era.eu.org:443?encryption=none&amp;security=tls&amp;fp=chrome&amp;type=tcp&amp;host=sv2.edu.tw&amp;headerType=none&amp;sni=sv2.edu.tw&amp;flow=xtls-rprx-vision#SV2_VLESS_TLS</v>
      </c>
    </row>
    <row r="13" spans="1:15" x14ac:dyDescent="0.25">
      <c r="A13" s="45">
        <v>12</v>
      </c>
      <c r="B13" s="46" t="str" cm="1">
        <f t="array" ref="B13">IFERROR(_xlfn._xlws.FILTER(节点信息!$O$30:$O$50,节点信息!$P$30:$P$50=$B$31),"")</f>
        <v>13dc89fd-0996-49cf-8842-8a3489ae7241</v>
      </c>
      <c r="C13" s="31" t="str">
        <f>IF(B13&lt;&gt;"",节点信息!N30,"")</f>
        <v>sv3.edu.tw</v>
      </c>
      <c r="D13" s="47" t="str">
        <f>IF(B13&lt;&gt;"","edutw","")</f>
        <v>edutw</v>
      </c>
      <c r="E13" s="47" t="str">
        <f t="shared" si="0"/>
        <v>sv3.era.eu.org</v>
      </c>
      <c r="F13" s="47" t="s">
        <v>539</v>
      </c>
      <c r="G13" s="139" t="str">
        <f t="shared" si="2"/>
        <v>SV3_VMess_WS = vmess, cf30.eraw.eu.org, 443, username=13dc89fd-0996-49cf-8842-8a3489ae7241, ws=true, tls=true, ws-path=/edutwvws, skip-cert-verify=false, udp-relay=false, vmess-aead=true, ws-headers=Host:sv3.edu.tw, sni=sv3.edu.tw</v>
      </c>
      <c r="H13" s="125" t="str">
        <f t="shared" si="3"/>
        <v>vless://13dc89fd-0996-49cf-8842-8a3489ae7241@sv3.era.eu.org:4567?encryption=none&amp;security=reality&amp;type=tcp&amp;sni=sv3.edu.tw&amp;fp=chrome&amp;pbk=swgXIpGcJF34pYYwjPznkG4jZ6dH8oLaO2ImCbFTMVE&amp;sid=6ba85179e30d4fc2&amp;flow=xtls-rprx-vision#SV3_Reality_TLS</v>
      </c>
      <c r="I13" s="125" t="str">
        <f t="shared" si="4"/>
        <v>vless://13dc89fd-0996-49cf-8842-8a3489ae7241@sv3.era.eu.org:4567?encryption=none&amp;security=reality&amp;type=grpc&amp;sni=sv3.edu.tw&amp;fp=chrome&amp;pbk=swgXIpGcJF34pYYwjPznkG4jZ6dH8oLaO2ImCbFTMVE&amp;sid=6ba85179e30d4fc2&amp;path=grpc&amp;serviceName=grpc#SV3_Reality_gRPC</v>
      </c>
      <c r="J13" s="84" t="str">
        <f t="shared" si="5"/>
        <v xml:space="preserve"> vless://13dc89fd-0996-49cf-8842-8a3489ae7241@cf30.eraw.eu.org:443?encryption=none&amp;security=tls&amp;type=ws&amp;host=sv3.edu.tw&amp;sni=sv3.edu.tw&amp;fp=chrome&amp;path=/edutwws#SV3_VLESS_WS</v>
      </c>
      <c r="K13" s="84" t="str">
        <f t="shared" si="6"/>
        <v>vless://13dc89fd-0996-49cf-8842-8a3489ae7241@cf30.eraw.eu.org:443?encryption=none&amp;security=tls&amp;type=grpc&amp;host=sv3.edu.tw&amp;path=edutwgrpc&amp;fp=chrome&amp;serviceName=edutwgrpc&amp;alpn=h2&amp;sni=sv3.edu.tw#SV3_VLESS_gRPC</v>
      </c>
      <c r="L13" s="84" t="str">
        <f t="shared" si="1"/>
        <v>trojan://13dc89fd-0996-49cf-8842-8a3489ae7241@cf30.eraw.eu.org:443?encryption=none&amp;peer=sv3.edu.tw&amp;fp=chrome&amp;security=tls&amp;type=grpc&amp;sni=sv3.edu.tw&amp;alpn=h2&amp;path=edutwtrojangrpc&amp;serviceName=edutwtrojangrpc#SV3_Trojan_gRPC</v>
      </c>
      <c r="M13" s="84" t="str" cm="1">
        <f t="array" ref="M13">IF(B13&lt;&gt;"","vmess://"&amp;EncodeBase64("  {""port"":443,""ps"""&amp;":"""&amp;UPPER(LEFT(C13,FIND(".",C13)-1))&amp;"_VMess_WS"",""tls"":""tls"",""id"":"""&amp;B13&amp;""",""aid"":0,""v"":2,""host"":"""&amp;C13&amp;""",""type"":""none"",""path"":""/"&amp;D13&amp;"vws"&amp;""",""net"":""ws"",""add"":"""&amp;F13&amp;""""&amp;","&amp;"""allowInsecure"":0,""method"":""none"",""peer"":"""&amp;C13&amp;""",""sni"":"""&amp;C13&amp;"""}"),"")</f>
        <v>vmess://ICB7InBvcnQiOjQ0MywicHMiOiJTVjNfVk1lc3NfV1MiLCJ0bHMiOiJ0bHMiLCJpZCI6IjEzZGM4OWZkLTA5OTYtNDljZi04ODQyLThhMzQ4OWFlNzI0MSIsImFpZCI6MCwidiI6MiwiaG9zdCI6InN2My5lZHUudHciLCJ0eXBlIjoibm9uZSIsInBhdGgiOiIvZWR1dHd2d3MiLCJuZXQiOiJ3cyIsImFkZCI6ImNmMzAuZXJhdy5ldS5vcmciLCJhbGxvd0luc2VjdXJlIjowLCJtZXRob2QiOiJub25lIiwicGVlciI6InN2My5lZHUudHciLCJzbmkiOiJzdjMuZWR1LnR3In0=</v>
      </c>
      <c r="N13" s="84" t="str">
        <f t="shared" si="7"/>
        <v>trojan://13dc89fd-0996-49cf-8842-8a3489ae7241@sv3.era.eu.org:443?peer=sv3.edu.tw&amp;fp=chrome&amp;sni=sv3.edu.tw&amp;alpn=http/1.1#SV3_Trojan</v>
      </c>
      <c r="O13" s="84" t="str">
        <f t="shared" si="8"/>
        <v xml:space="preserve"> vless://13dc89fd-0996-49cf-8842-8a3489ae7241@sv3.era.eu.org:443?encryption=none&amp;security=tls&amp;fp=chrome&amp;type=tcp&amp;host=sv3.edu.tw&amp;headerType=none&amp;sni=sv3.edu.tw&amp;flow=xtls-rprx-vision#SV3_VLESS_TLS</v>
      </c>
    </row>
    <row r="14" spans="1:15" x14ac:dyDescent="0.25">
      <c r="A14" s="45">
        <v>13</v>
      </c>
      <c r="B14" s="46" t="str" cm="1">
        <f t="array" ref="B14">IFERROR(_xlfn._xlws.FILTER(节点信息!$S$30:$S$50,节点信息!$T$30:$T$50=$B$31),"")</f>
        <v>5ad10ee7-152d-4145-9ce2-4c5b501888c4</v>
      </c>
      <c r="C14" s="31" t="str">
        <f>IF(B14&lt;&gt;"",节点信息!R30,"")</f>
        <v>sv4.edu.tw</v>
      </c>
      <c r="D14" s="47" t="str">
        <f>IF(B14&lt;&gt;"","edutw","")</f>
        <v>edutw</v>
      </c>
      <c r="E14" s="47" t="str">
        <f t="shared" si="0"/>
        <v>sv4.era.eu.org</v>
      </c>
      <c r="F14" s="47" t="s">
        <v>540</v>
      </c>
      <c r="G14" s="139" t="str">
        <f t="shared" si="2"/>
        <v>SV4_VMess_WS = vmess, cf31.eraw.eu.org, 443, username=5ad10ee7-152d-4145-9ce2-4c5b501888c4, ws=true, tls=true, ws-path=/edutwvws, skip-cert-verify=false, udp-relay=false, vmess-aead=true, ws-headers=Host:sv4.edu.tw, sni=sv4.edu.tw</v>
      </c>
      <c r="H14" s="125" t="str">
        <f t="shared" si="3"/>
        <v>vless://5ad10ee7-152d-4145-9ce2-4c5b501888c4@sv4.era.eu.org:4567?encryption=none&amp;security=reality&amp;type=tcp&amp;sni=sv4.edu.tw&amp;fp=chrome&amp;pbk=swgXIpGcJF34pYYwjPznkG4jZ6dH8oLaO2ImCbFTMVE&amp;sid=6ba85179e30d4fc2&amp;flow=xtls-rprx-vision#SV4_Reality_TLS</v>
      </c>
      <c r="I14" s="125" t="str">
        <f t="shared" si="4"/>
        <v>vless://5ad10ee7-152d-4145-9ce2-4c5b501888c4@sv4.era.eu.org:4567?encryption=none&amp;security=reality&amp;type=grpc&amp;sni=sv4.edu.tw&amp;fp=chrome&amp;pbk=swgXIpGcJF34pYYwjPznkG4jZ6dH8oLaO2ImCbFTMVE&amp;sid=6ba85179e30d4fc2&amp;path=grpc&amp;serviceName=grpc#SV4_Reality_gRPC</v>
      </c>
      <c r="J14" s="84" t="str">
        <f t="shared" si="5"/>
        <v xml:space="preserve"> vless://5ad10ee7-152d-4145-9ce2-4c5b501888c4@cf31.eraw.eu.org:443?encryption=none&amp;security=tls&amp;type=ws&amp;host=sv4.edu.tw&amp;sni=sv4.edu.tw&amp;fp=chrome&amp;path=/edutwws#SV4_VLESS_WS</v>
      </c>
      <c r="K14" s="84" t="str">
        <f t="shared" si="6"/>
        <v>vless://5ad10ee7-152d-4145-9ce2-4c5b501888c4@cf31.eraw.eu.org:443?encryption=none&amp;security=tls&amp;type=grpc&amp;host=sv4.edu.tw&amp;path=edutwgrpc&amp;fp=chrome&amp;serviceName=edutwgrpc&amp;alpn=h2&amp;sni=sv4.edu.tw#SV4_VLESS_gRPC</v>
      </c>
      <c r="L14" s="84" t="str">
        <f t="shared" si="1"/>
        <v>trojan://5ad10ee7-152d-4145-9ce2-4c5b501888c4@cf31.eraw.eu.org:443?encryption=none&amp;peer=sv4.edu.tw&amp;fp=chrome&amp;security=tls&amp;type=grpc&amp;sni=sv4.edu.tw&amp;alpn=h2&amp;path=edutwtrojangrpc&amp;serviceName=edutwtrojangrpc#SV4_Trojan_gRPC</v>
      </c>
      <c r="M14" s="84" t="str" cm="1">
        <f t="array" ref="M14">IF(B14&lt;&gt;"","vmess://"&amp;EncodeBase64("  {""port"":443,""ps"""&amp;":"""&amp;UPPER(LEFT(C14,FIND(".",C14)-1))&amp;"_VMess_WS"",""tls"":""tls"",""id"":"""&amp;B14&amp;""",""aid"":0,""v"":2,""host"":"""&amp;C14&amp;""",""type"":""none"",""path"":""/"&amp;D14&amp;"vws"&amp;""",""net"":""ws"",""add"":"""&amp;F14&amp;""""&amp;","&amp;"""allowInsecure"":0,""method"":""none"",""peer"":"""&amp;C14&amp;""",""sni"":"""&amp;C14&amp;"""}"),"")</f>
        <v>vmess://ICB7InBvcnQiOjQ0MywicHMiOiJTVjRfVk1lc3NfV1MiLCJ0bHMiOiJ0bHMiLCJpZCI6IjVhZDEwZWU3LTE1MmQtNDE0NS05Y2UyLTRjNWI1MDE4ODhjNCIsImFpZCI6MCwidiI6MiwiaG9zdCI6InN2NC5lZHUudHciLCJ0eXBlIjoibm9uZSIsInBhdGgiOiIvZWR1dHd2d3MiLCJuZXQiOiJ3cyIsImFkZCI6ImNmMzEuZXJhdy5ldS5vcmciLCJhbGxvd0luc2VjdXJlIjowLCJtZXRob2QiOiJub25lIiwicGVlciI6InN2NC5lZHUudHciLCJzbmkiOiJzdjQuZWR1LnR3In0=</v>
      </c>
      <c r="N14" s="84" t="str">
        <f t="shared" si="7"/>
        <v>trojan://5ad10ee7-152d-4145-9ce2-4c5b501888c4@sv4.era.eu.org:443?peer=sv4.edu.tw&amp;fp=chrome&amp;sni=sv4.edu.tw&amp;alpn=http/1.1#SV4_Trojan</v>
      </c>
      <c r="O14" s="84" t="str">
        <f t="shared" si="8"/>
        <v xml:space="preserve"> vless://5ad10ee7-152d-4145-9ce2-4c5b501888c4@sv4.era.eu.org:443?encryption=none&amp;security=tls&amp;fp=chrome&amp;type=tcp&amp;host=sv4.edu.tw&amp;headerType=none&amp;sni=sv4.edu.tw&amp;flow=xtls-rprx-vision#SV4_VLESS_TLS</v>
      </c>
    </row>
    <row r="15" spans="1:15" x14ac:dyDescent="0.25">
      <c r="A15" s="45">
        <v>14</v>
      </c>
      <c r="B15" s="46" t="str" cm="1">
        <f t="array" ref="B15">IFERROR(_xlfn._xlws.FILTER(节点信息!$C$53:$C$73,节点信息!$D$53:$D$73=$B$31),"")</f>
        <v>a63e3780-8582-49f5-be15-4bf7b8cf1351</v>
      </c>
      <c r="C15" s="31" t="str">
        <f>IF(B15&lt;&gt;"",节点信息!B53,"")</f>
        <v>sv5.edu.tw</v>
      </c>
      <c r="D15" s="47" t="str">
        <f>IF(B15&lt;&gt;"","edutw","")</f>
        <v>edutw</v>
      </c>
      <c r="E15" s="47" t="str">
        <f t="shared" si="0"/>
        <v>sv5.era.eu.org</v>
      </c>
      <c r="F15" s="47" t="s">
        <v>541</v>
      </c>
      <c r="G15" s="139" t="str">
        <f t="shared" si="2"/>
        <v>SV5_VMess_WS = vmess, cf32.eraw.eu.org, 443, username=a63e3780-8582-49f5-be15-4bf7b8cf1351, ws=true, tls=true, ws-path=/edutwvws, skip-cert-verify=false, udp-relay=false, vmess-aead=true, ws-headers=Host:sv5.edu.tw, sni=sv5.edu.tw</v>
      </c>
      <c r="H15" s="125" t="str">
        <f t="shared" si="3"/>
        <v>vless://a63e3780-8582-49f5-be15-4bf7b8cf1351@sv5.era.eu.org:4567?encryption=none&amp;security=reality&amp;type=tcp&amp;sni=sv5.edu.tw&amp;fp=chrome&amp;pbk=swgXIpGcJF34pYYwjPznkG4jZ6dH8oLaO2ImCbFTMVE&amp;sid=6ba85179e30d4fc2&amp;flow=xtls-rprx-vision#SV5_Reality_TLS</v>
      </c>
      <c r="I15" s="125" t="str">
        <f t="shared" si="4"/>
        <v>vless://a63e3780-8582-49f5-be15-4bf7b8cf1351@sv5.era.eu.org:4567?encryption=none&amp;security=reality&amp;type=grpc&amp;sni=sv5.edu.tw&amp;fp=chrome&amp;pbk=swgXIpGcJF34pYYwjPznkG4jZ6dH8oLaO2ImCbFTMVE&amp;sid=6ba85179e30d4fc2&amp;path=grpc&amp;serviceName=grpc#SV5_Reality_gRPC</v>
      </c>
      <c r="J15" s="84" t="str">
        <f t="shared" si="5"/>
        <v xml:space="preserve"> vless://a63e3780-8582-49f5-be15-4bf7b8cf1351@cf32.eraw.eu.org:443?encryption=none&amp;security=tls&amp;type=ws&amp;host=sv5.edu.tw&amp;sni=sv5.edu.tw&amp;fp=chrome&amp;path=/edutwws#SV5_VLESS_WS</v>
      </c>
      <c r="K15" s="84" t="str">
        <f t="shared" si="6"/>
        <v>vless://a63e3780-8582-49f5-be15-4bf7b8cf1351@cf32.eraw.eu.org:443?encryption=none&amp;security=tls&amp;type=grpc&amp;host=sv5.edu.tw&amp;path=edutwgrpc&amp;fp=chrome&amp;serviceName=edutwgrpc&amp;alpn=h2&amp;sni=sv5.edu.tw#SV5_VLESS_gRPC</v>
      </c>
      <c r="L15" s="84" t="str">
        <f t="shared" si="1"/>
        <v>trojan://a63e3780-8582-49f5-be15-4bf7b8cf1351@cf32.eraw.eu.org:443?encryption=none&amp;peer=sv5.edu.tw&amp;fp=chrome&amp;security=tls&amp;type=grpc&amp;sni=sv5.edu.tw&amp;alpn=h2&amp;path=edutwtrojangrpc&amp;serviceName=edutwtrojangrpc#SV5_Trojan_gRPC</v>
      </c>
      <c r="M15" s="84" t="str" cm="1">
        <f t="array" ref="M15">IF(B15&lt;&gt;"","vmess://"&amp;EncodeBase64("  {""port"":443,""ps"""&amp;":"""&amp;UPPER(LEFT(C15,FIND(".",C15)-1))&amp;"_VMess_WS"",""tls"":""tls"",""id"":"""&amp;B15&amp;""",""aid"":0,""v"":2,""host"":"""&amp;C15&amp;""",""type"":""none"",""path"":""/"&amp;D15&amp;"vws"&amp;""",""net"":""ws"",""add"":"""&amp;F15&amp;""""&amp;","&amp;"""allowInsecure"":0,""method"":""none"",""peer"":"""&amp;C15&amp;""",""sni"":"""&amp;C15&amp;"""}"),"")</f>
        <v>vmess://ICB7InBvcnQiOjQ0MywicHMiOiJTVjVfVk1lc3NfV1MiLCJ0bHMiOiJ0bHMiLCJpZCI6ImE2M2UzNzgwLTg1ODItNDlmNS1iZTE1LTRiZjdiOGNmMTM1MSIsImFpZCI6MCwidiI6MiwiaG9zdCI6InN2NS5lZHUudHciLCJ0eXBlIjoibm9uZSIsInBhdGgiOiIvZWR1dHd2d3MiLCJuZXQiOiJ3cyIsImFkZCI6ImNmMzIuZXJhdy5ldS5vcmciLCJhbGxvd0luc2VjdXJlIjowLCJtZXRob2QiOiJub25lIiwicGVlciI6InN2NS5lZHUudHciLCJzbmkiOiJzdjUuZWR1LnR3In0=</v>
      </c>
      <c r="N15" s="84" t="str">
        <f t="shared" si="7"/>
        <v>trojan://a63e3780-8582-49f5-be15-4bf7b8cf1351@sv5.era.eu.org:443?peer=sv5.edu.tw&amp;fp=chrome&amp;sni=sv5.edu.tw&amp;alpn=http/1.1#SV5_Trojan</v>
      </c>
      <c r="O15" s="84" t="str">
        <f t="shared" si="8"/>
        <v xml:space="preserve"> vless://a63e3780-8582-49f5-be15-4bf7b8cf1351@sv5.era.eu.org:443?encryption=none&amp;security=tls&amp;fp=chrome&amp;type=tcp&amp;host=sv5.edu.tw&amp;headerType=none&amp;sni=sv5.edu.tw&amp;flow=xtls-rprx-vision#SV5_VLESS_TLS</v>
      </c>
    </row>
    <row r="16" spans="1:15" x14ac:dyDescent="0.25">
      <c r="A16" s="45">
        <v>15</v>
      </c>
      <c r="B16" s="46" t="str" cm="1">
        <f t="array" ref="B16">IFERROR(_xlfn._xlws.FILTER(节点信息!$G$53:$G$73,节点信息!$H$53:$H$73=$B$31),"")</f>
        <v>d2518078-e7c9-4248-861e-edd6a599f158</v>
      </c>
      <c r="C16" s="31" t="str">
        <f>IF(B16&lt;&gt;"",节点信息!F53,"")</f>
        <v>sv6.edu.tw</v>
      </c>
      <c r="D16" s="47" t="str">
        <f>IF(B16&lt;&gt;"","edutw","")</f>
        <v>edutw</v>
      </c>
      <c r="E16" s="47" t="str">
        <f t="shared" si="0"/>
        <v>sv6.era.eu.org</v>
      </c>
      <c r="F16" s="47" t="s">
        <v>542</v>
      </c>
      <c r="G16" s="139" t="str">
        <f t="shared" si="2"/>
        <v>SV6_VMess_WS = vmess, cf33.eraw.eu.org, 443, username=d2518078-e7c9-4248-861e-edd6a599f158, ws=true, tls=true, ws-path=/edutwvws, skip-cert-verify=false, udp-relay=false, vmess-aead=true, ws-headers=Host:sv6.edu.tw, sni=sv6.edu.tw</v>
      </c>
      <c r="H16" s="125" t="str">
        <f t="shared" si="3"/>
        <v>vless://d2518078-e7c9-4248-861e-edd6a599f158@sv6.era.eu.org:4567?encryption=none&amp;security=reality&amp;type=tcp&amp;sni=sv6.edu.tw&amp;fp=chrome&amp;pbk=swgXIpGcJF34pYYwjPznkG4jZ6dH8oLaO2ImCbFTMVE&amp;sid=6ba85179e30d4fc2&amp;flow=xtls-rprx-vision#SV6_Reality_TLS</v>
      </c>
      <c r="I16" s="125" t="str">
        <f t="shared" si="4"/>
        <v>vless://d2518078-e7c9-4248-861e-edd6a599f158@sv6.era.eu.org:4567?encryption=none&amp;security=reality&amp;type=grpc&amp;sni=sv6.edu.tw&amp;fp=chrome&amp;pbk=swgXIpGcJF34pYYwjPznkG4jZ6dH8oLaO2ImCbFTMVE&amp;sid=6ba85179e30d4fc2&amp;path=grpc&amp;serviceName=grpc#SV6_Reality_gRPC</v>
      </c>
      <c r="J16" s="84" t="str">
        <f t="shared" si="5"/>
        <v xml:space="preserve"> vless://d2518078-e7c9-4248-861e-edd6a599f158@cf33.eraw.eu.org:443?encryption=none&amp;security=tls&amp;type=ws&amp;host=sv6.edu.tw&amp;sni=sv6.edu.tw&amp;fp=chrome&amp;path=/edutwws#SV6_VLESS_WS</v>
      </c>
      <c r="K16" s="84" t="str">
        <f t="shared" si="6"/>
        <v>vless://d2518078-e7c9-4248-861e-edd6a599f158@cf33.eraw.eu.org:443?encryption=none&amp;security=tls&amp;type=grpc&amp;host=sv6.edu.tw&amp;path=edutwgrpc&amp;fp=chrome&amp;serviceName=edutwgrpc&amp;alpn=h2&amp;sni=sv6.edu.tw#SV6_VLESS_gRPC</v>
      </c>
      <c r="L16" s="84" t="str">
        <f t="shared" si="1"/>
        <v>trojan://d2518078-e7c9-4248-861e-edd6a599f158@cf33.eraw.eu.org:443?encryption=none&amp;peer=sv6.edu.tw&amp;fp=chrome&amp;security=tls&amp;type=grpc&amp;sni=sv6.edu.tw&amp;alpn=h2&amp;path=edutwtrojangrpc&amp;serviceName=edutwtrojangrpc#SV6_Trojan_gRPC</v>
      </c>
      <c r="M16" s="84" t="str" cm="1">
        <f t="array" ref="M16">IF(B16&lt;&gt;"","vmess://"&amp;EncodeBase64("  {""port"":443,""ps"""&amp;":"""&amp;UPPER(LEFT(C16,FIND(".",C16)-1))&amp;"_VMess_WS"",""tls"":""tls"",""id"":"""&amp;B16&amp;""",""aid"":0,""v"":2,""host"":"""&amp;C16&amp;""",""type"":""none"",""path"":""/"&amp;D16&amp;"vws"&amp;""",""net"":""ws"",""add"":"""&amp;F16&amp;""""&amp;","&amp;"""allowInsecure"":0,""method"":""none"",""peer"":"""&amp;C16&amp;""",""sni"":"""&amp;C16&amp;"""}"),"")</f>
        <v>vmess://ICB7InBvcnQiOjQ0MywicHMiOiJTVjZfVk1lc3NfV1MiLCJ0bHMiOiJ0bHMiLCJpZCI6ImQyNTE4MDc4LWU3YzktNDI0OC04NjFlLWVkZDZhNTk5ZjE1OCIsImFpZCI6MCwidiI6MiwiaG9zdCI6InN2Ni5lZHUudHciLCJ0eXBlIjoibm9uZSIsInBhdGgiOiIvZWR1dHd2d3MiLCJuZXQiOiJ3cyIsImFkZCI6ImNmMzMuZXJhdy5ldS5vcmciLCJhbGxvd0luc2VjdXJlIjowLCJtZXRob2QiOiJub25lIiwicGVlciI6InN2Ni5lZHUudHciLCJzbmkiOiJzdjYuZWR1LnR3In0=</v>
      </c>
      <c r="N16" s="84" t="str">
        <f t="shared" si="7"/>
        <v>trojan://d2518078-e7c9-4248-861e-edd6a599f158@sv6.era.eu.org:443?peer=sv6.edu.tw&amp;fp=chrome&amp;sni=sv6.edu.tw&amp;alpn=http/1.1#SV6_Trojan</v>
      </c>
      <c r="O16" s="84" t="str">
        <f t="shared" si="8"/>
        <v xml:space="preserve"> vless://d2518078-e7c9-4248-861e-edd6a599f158@sv6.era.eu.org:443?encryption=none&amp;security=tls&amp;fp=chrome&amp;type=tcp&amp;host=sv6.edu.tw&amp;headerType=none&amp;sni=sv6.edu.tw&amp;flow=xtls-rprx-vision#SV6_VLESS_TLS</v>
      </c>
    </row>
    <row r="17" spans="1:15" x14ac:dyDescent="0.25">
      <c r="A17" s="45">
        <v>16</v>
      </c>
      <c r="B17" s="46" t="str" cm="1">
        <f t="array" ref="B17">IFERROR(_xlfn._xlws.FILTER(节点信息!$K$53:$K$73,节点信息!$L$53:$L$73=$B$31),"")</f>
        <v>e96cfacf-f500-4ac4-b120-7728f78d5be5</v>
      </c>
      <c r="C17" s="31" t="str">
        <f>IF(B17&lt;&gt;"",节点信息!J53,"")</f>
        <v>sv7.edu.tw</v>
      </c>
      <c r="D17" s="47" t="str">
        <f>IF(B17&lt;&gt;"","edutw","")</f>
        <v>edutw</v>
      </c>
      <c r="E17" s="47" t="str">
        <f t="shared" si="0"/>
        <v>sv7.era.eu.org</v>
      </c>
      <c r="F17" s="47" t="s">
        <v>543</v>
      </c>
      <c r="G17" s="139" t="str">
        <f t="shared" si="2"/>
        <v>SV7_VMess_WS = vmess, cf34.eraw.eu.org, 443, username=e96cfacf-f500-4ac4-b120-7728f78d5be5, ws=true, tls=true, ws-path=/edutwvws, skip-cert-verify=false, udp-relay=false, vmess-aead=true, ws-headers=Host:sv7.edu.tw, sni=sv7.edu.tw</v>
      </c>
      <c r="H17" s="125" t="str">
        <f t="shared" si="3"/>
        <v>vless://e96cfacf-f500-4ac4-b120-7728f78d5be5@sv7.era.eu.org:4567?encryption=none&amp;security=reality&amp;type=tcp&amp;sni=sv7.edu.tw&amp;fp=chrome&amp;pbk=swgXIpGcJF34pYYwjPznkG4jZ6dH8oLaO2ImCbFTMVE&amp;sid=6ba85179e30d4fc2&amp;flow=xtls-rprx-vision#SV7_Reality_TLS</v>
      </c>
      <c r="I17" s="125" t="str">
        <f t="shared" si="4"/>
        <v>vless://e96cfacf-f500-4ac4-b120-7728f78d5be5@sv7.era.eu.org:4567?encryption=none&amp;security=reality&amp;type=grpc&amp;sni=sv7.edu.tw&amp;fp=chrome&amp;pbk=swgXIpGcJF34pYYwjPznkG4jZ6dH8oLaO2ImCbFTMVE&amp;sid=6ba85179e30d4fc2&amp;path=grpc&amp;serviceName=grpc#SV7_Reality_gRPC</v>
      </c>
      <c r="J17" s="84" t="str">
        <f t="shared" si="5"/>
        <v xml:space="preserve"> vless://e96cfacf-f500-4ac4-b120-7728f78d5be5@cf34.eraw.eu.org:443?encryption=none&amp;security=tls&amp;type=ws&amp;host=sv7.edu.tw&amp;sni=sv7.edu.tw&amp;fp=chrome&amp;path=/edutwws#SV7_VLESS_WS</v>
      </c>
      <c r="K17" s="84" t="str">
        <f t="shared" si="6"/>
        <v>vless://e96cfacf-f500-4ac4-b120-7728f78d5be5@cf34.eraw.eu.org:443?encryption=none&amp;security=tls&amp;type=grpc&amp;host=sv7.edu.tw&amp;path=edutwgrpc&amp;fp=chrome&amp;serviceName=edutwgrpc&amp;alpn=h2&amp;sni=sv7.edu.tw#SV7_VLESS_gRPC</v>
      </c>
      <c r="L17" s="84" t="str">
        <f t="shared" si="1"/>
        <v>trojan://e96cfacf-f500-4ac4-b120-7728f78d5be5@cf34.eraw.eu.org:443?encryption=none&amp;peer=sv7.edu.tw&amp;fp=chrome&amp;security=tls&amp;type=grpc&amp;sni=sv7.edu.tw&amp;alpn=h2&amp;path=edutwtrojangrpc&amp;serviceName=edutwtrojangrpc#SV7_Trojan_gRPC</v>
      </c>
      <c r="M17" s="84" t="str" cm="1">
        <f t="array" ref="M17">IF(B17&lt;&gt;"","vmess://"&amp;EncodeBase64("  {""port"":443,""ps"""&amp;":"""&amp;UPPER(LEFT(C17,FIND(".",C17)-1))&amp;"_VMess_WS"",""tls"":""tls"",""id"":"""&amp;B17&amp;""",""aid"":0,""v"":2,""host"":"""&amp;C17&amp;""",""type"":""none"",""path"":""/"&amp;D17&amp;"vws"&amp;""",""net"":""ws"",""add"":"""&amp;F17&amp;""""&amp;","&amp;"""allowInsecure"":0,""method"":""none"",""peer"":"""&amp;C17&amp;""",""sni"":"""&amp;C17&amp;"""}"),"")</f>
        <v>vmess://ICB7InBvcnQiOjQ0MywicHMiOiJTVjdfVk1lc3NfV1MiLCJ0bHMiOiJ0bHMiLCJpZCI6ImU5NmNmYWNmLWY1MDAtNGFjNC1iMTIwLTc3MjhmNzhkNWJlNSIsImFpZCI6MCwidiI6MiwiaG9zdCI6InN2Ny5lZHUudHciLCJ0eXBlIjoibm9uZSIsInBhdGgiOiIvZWR1dHd2d3MiLCJuZXQiOiJ3cyIsImFkZCI6ImNmMzQuZXJhdy5ldS5vcmciLCJhbGxvd0luc2VjdXJlIjowLCJtZXRob2QiOiJub25lIiwicGVlciI6InN2Ny5lZHUudHciLCJzbmkiOiJzdjcuZWR1LnR3In0=</v>
      </c>
      <c r="N17" s="84" t="str">
        <f t="shared" si="7"/>
        <v>trojan://e96cfacf-f500-4ac4-b120-7728f78d5be5@sv7.era.eu.org:443?peer=sv7.edu.tw&amp;fp=chrome&amp;sni=sv7.edu.tw&amp;alpn=http/1.1#SV7_Trojan</v>
      </c>
      <c r="O17" s="84" t="str">
        <f t="shared" si="8"/>
        <v xml:space="preserve"> vless://e96cfacf-f500-4ac4-b120-7728f78d5be5@sv7.era.eu.org:443?encryption=none&amp;security=tls&amp;fp=chrome&amp;type=tcp&amp;host=sv7.edu.tw&amp;headerType=none&amp;sni=sv7.edu.tw&amp;flow=xtls-rprx-vision#SV7_VLESS_TLS</v>
      </c>
    </row>
    <row r="18" spans="1:15" x14ac:dyDescent="0.25">
      <c r="A18" s="45">
        <v>17</v>
      </c>
      <c r="B18" s="46" t="str" cm="1">
        <f t="array" ref="B18">IFERROR(_xlfn._xlws.FILTER(节点信息!$O$53:$O$73,节点信息!$P$53:$P$73=$B$31),"")</f>
        <v>00a83324-c647-4c6d-94a1-663757896fb4</v>
      </c>
      <c r="C18" s="31" t="str">
        <f>IF(B18&lt;&gt;"",节点信息!N53,"")</f>
        <v>sv8.edu.tw</v>
      </c>
      <c r="D18" s="47" t="str">
        <f>IF(B18&lt;&gt;"","edutw","")</f>
        <v>edutw</v>
      </c>
      <c r="E18" s="47" t="str">
        <f t="shared" si="0"/>
        <v>sv8.era.eu.org</v>
      </c>
      <c r="F18" s="47" t="s">
        <v>544</v>
      </c>
      <c r="G18" s="139" t="str">
        <f t="shared" si="2"/>
        <v>SV8_VMess_WS = vmess, cf35.eraw.eu.org, 443, username=00a83324-c647-4c6d-94a1-663757896fb4, ws=true, tls=true, ws-path=/edutwvws, skip-cert-verify=false, udp-relay=false, vmess-aead=true, ws-headers=Host:sv8.edu.tw, sni=sv8.edu.tw</v>
      </c>
      <c r="H18" s="125" t="str">
        <f t="shared" si="3"/>
        <v>vless://00a83324-c647-4c6d-94a1-663757896fb4@sv8.era.eu.org:4567?encryption=none&amp;security=reality&amp;type=tcp&amp;sni=sv8.edu.tw&amp;fp=chrome&amp;pbk=swgXIpGcJF34pYYwjPznkG4jZ6dH8oLaO2ImCbFTMVE&amp;sid=6ba85179e30d4fc2&amp;flow=xtls-rprx-vision#SV8_Reality_TLS</v>
      </c>
      <c r="I18" s="125" t="str">
        <f t="shared" si="4"/>
        <v>vless://00a83324-c647-4c6d-94a1-663757896fb4@sv8.era.eu.org:4567?encryption=none&amp;security=reality&amp;type=grpc&amp;sni=sv8.edu.tw&amp;fp=chrome&amp;pbk=swgXIpGcJF34pYYwjPznkG4jZ6dH8oLaO2ImCbFTMVE&amp;sid=6ba85179e30d4fc2&amp;path=grpc&amp;serviceName=grpc#SV8_Reality_gRPC</v>
      </c>
      <c r="J18" s="84" t="str">
        <f t="shared" si="5"/>
        <v xml:space="preserve"> vless://00a83324-c647-4c6d-94a1-663757896fb4@cf35.eraw.eu.org:443?encryption=none&amp;security=tls&amp;type=ws&amp;host=sv8.edu.tw&amp;sni=sv8.edu.tw&amp;fp=chrome&amp;path=/edutwws#SV8_VLESS_WS</v>
      </c>
      <c r="K18" s="84" t="str">
        <f t="shared" si="6"/>
        <v>vless://00a83324-c647-4c6d-94a1-663757896fb4@cf35.eraw.eu.org:443?encryption=none&amp;security=tls&amp;type=grpc&amp;host=sv8.edu.tw&amp;path=edutwgrpc&amp;fp=chrome&amp;serviceName=edutwgrpc&amp;alpn=h2&amp;sni=sv8.edu.tw#SV8_VLESS_gRPC</v>
      </c>
      <c r="L18" s="84" t="str">
        <f t="shared" si="1"/>
        <v>trojan://00a83324-c647-4c6d-94a1-663757896fb4@cf35.eraw.eu.org:443?encryption=none&amp;peer=sv8.edu.tw&amp;fp=chrome&amp;security=tls&amp;type=grpc&amp;sni=sv8.edu.tw&amp;alpn=h2&amp;path=edutwtrojangrpc&amp;serviceName=edutwtrojangrpc#SV8_Trojan_gRPC</v>
      </c>
      <c r="M18" s="84" t="str" cm="1">
        <f t="array" ref="M18">IF(B18&lt;&gt;"","vmess://"&amp;EncodeBase64("  {""port"":443,""ps"""&amp;":"""&amp;UPPER(LEFT(C18,FIND(".",C18)-1))&amp;"_VMess_WS"",""tls"":""tls"",""id"":"""&amp;B18&amp;""",""aid"":0,""v"":2,""host"":"""&amp;C18&amp;""",""type"":""none"",""path"":""/"&amp;D18&amp;"vws"&amp;""",""net"":""ws"",""add"":"""&amp;F18&amp;""""&amp;","&amp;"""allowInsecure"":0,""method"":""none"",""peer"":"""&amp;C18&amp;""",""sni"":"""&amp;C18&amp;"""}"),"")</f>
        <v>vmess://ICB7InBvcnQiOjQ0MywicHMiOiJTVjhfVk1lc3NfV1MiLCJ0bHMiOiJ0bHMiLCJpZCI6IjAwYTgzMzI0LWM2NDctNGM2ZC05NGExLTY2Mzc1Nzg5NmZiNCIsImFpZCI6MCwidiI6MiwiaG9zdCI6InN2OC5lZHUudHciLCJ0eXBlIjoibm9uZSIsInBhdGgiOiIvZWR1dHd2d3MiLCJuZXQiOiJ3cyIsImFkZCI6ImNmMzUuZXJhdy5ldS5vcmciLCJhbGxvd0luc2VjdXJlIjowLCJtZXRob2QiOiJub25lIiwicGVlciI6InN2OC5lZHUudHciLCJzbmkiOiJzdjguZWR1LnR3In0=</v>
      </c>
      <c r="N18" s="84" t="str">
        <f t="shared" si="7"/>
        <v>trojan://00a83324-c647-4c6d-94a1-663757896fb4@sv8.era.eu.org:443?peer=sv8.edu.tw&amp;fp=chrome&amp;sni=sv8.edu.tw&amp;alpn=http/1.1#SV8_Trojan</v>
      </c>
      <c r="O18" s="84" t="str">
        <f t="shared" si="8"/>
        <v xml:space="preserve"> vless://00a83324-c647-4c6d-94a1-663757896fb4@sv8.era.eu.org:443?encryption=none&amp;security=tls&amp;fp=chrome&amp;type=tcp&amp;host=sv8.edu.tw&amp;headerType=none&amp;sni=sv8.edu.tw&amp;flow=xtls-rprx-vision#SV8_VLESS_TLS</v>
      </c>
    </row>
    <row r="19" spans="1:15" x14ac:dyDescent="0.25">
      <c r="A19" s="45">
        <v>18</v>
      </c>
      <c r="B19" s="46" t="str" cm="1">
        <f t="array" ref="B19">IFERROR(_xlfn._xlws.FILTER(节点信息!$S$53:$S$73,节点信息!$T$53:$T$73=$B$31),"")</f>
        <v>e578dffb-b71d-44d3-9249-0bef2c7d396c</v>
      </c>
      <c r="C19" s="31" t="str">
        <f>IF(B19&lt;&gt;"",节点信息!R53,"")</f>
        <v>sv9.edu.tw</v>
      </c>
      <c r="D19" s="47" t="str">
        <f>IF(B19&lt;&gt;"","edutw","")</f>
        <v>edutw</v>
      </c>
      <c r="E19" s="47" t="str">
        <f t="shared" si="0"/>
        <v>sv9.era.eu.org</v>
      </c>
      <c r="F19" s="47" t="s">
        <v>545</v>
      </c>
      <c r="G19" s="139" t="str">
        <f t="shared" si="2"/>
        <v>SV9_VMess_WS = vmess, cf36.eraw.eu.org, 443, username=e578dffb-b71d-44d3-9249-0bef2c7d396c, ws=true, tls=true, ws-path=/edutwvws, skip-cert-verify=false, udp-relay=false, vmess-aead=true, ws-headers=Host:sv9.edu.tw, sni=sv9.edu.tw</v>
      </c>
      <c r="H19" s="125" t="str">
        <f t="shared" si="3"/>
        <v>vless://e578dffb-b71d-44d3-9249-0bef2c7d396c@sv9.era.eu.org:4567?encryption=none&amp;security=reality&amp;type=tcp&amp;sni=sv9.edu.tw&amp;fp=chrome&amp;pbk=swgXIpGcJF34pYYwjPznkG4jZ6dH8oLaO2ImCbFTMVE&amp;sid=6ba85179e30d4fc2&amp;flow=xtls-rprx-vision#SV9_Reality_TLS</v>
      </c>
      <c r="I19" s="125" t="str">
        <f t="shared" si="4"/>
        <v>vless://e578dffb-b71d-44d3-9249-0bef2c7d396c@sv9.era.eu.org:4567?encryption=none&amp;security=reality&amp;type=grpc&amp;sni=sv9.edu.tw&amp;fp=chrome&amp;pbk=swgXIpGcJF34pYYwjPznkG4jZ6dH8oLaO2ImCbFTMVE&amp;sid=6ba85179e30d4fc2&amp;path=grpc&amp;serviceName=grpc#SV9_Reality_gRPC</v>
      </c>
      <c r="J19" s="84" t="str">
        <f t="shared" si="5"/>
        <v xml:space="preserve"> vless://e578dffb-b71d-44d3-9249-0bef2c7d396c@cf36.eraw.eu.org:443?encryption=none&amp;security=tls&amp;type=ws&amp;host=sv9.edu.tw&amp;sni=sv9.edu.tw&amp;fp=chrome&amp;path=/edutwws#SV9_VLESS_WS</v>
      </c>
      <c r="K19" s="84" t="str">
        <f t="shared" si="6"/>
        <v>vless://e578dffb-b71d-44d3-9249-0bef2c7d396c@cf36.eraw.eu.org:443?encryption=none&amp;security=tls&amp;type=grpc&amp;host=sv9.edu.tw&amp;path=edutwgrpc&amp;fp=chrome&amp;serviceName=edutwgrpc&amp;alpn=h2&amp;sni=sv9.edu.tw#SV9_VLESS_gRPC</v>
      </c>
      <c r="L19" s="84" t="str">
        <f t="shared" si="1"/>
        <v>trojan://e578dffb-b71d-44d3-9249-0bef2c7d396c@cf36.eraw.eu.org:443?encryption=none&amp;peer=sv9.edu.tw&amp;fp=chrome&amp;security=tls&amp;type=grpc&amp;sni=sv9.edu.tw&amp;alpn=h2&amp;path=edutwtrojangrpc&amp;serviceName=edutwtrojangrpc#SV9_Trojan_gRPC</v>
      </c>
      <c r="M19" s="84" t="str" cm="1">
        <f t="array" ref="M19">IF(B19&lt;&gt;"","vmess://"&amp;EncodeBase64("  {""port"":443,""ps"""&amp;":"""&amp;UPPER(LEFT(C19,FIND(".",C19)-1))&amp;"_VMess_WS"",""tls"":""tls"",""id"":"""&amp;B19&amp;""",""aid"":0,""v"":2,""host"":"""&amp;C19&amp;""",""type"":""none"",""path"":""/"&amp;D19&amp;"vws"&amp;""",""net"":""ws"",""add"":"""&amp;F19&amp;""""&amp;","&amp;"""allowInsecure"":0,""method"":""none"",""peer"":"""&amp;C19&amp;""",""sni"":"""&amp;C19&amp;"""}"),"")</f>
        <v>vmess://ICB7InBvcnQiOjQ0MywicHMiOiJTVjlfVk1lc3NfV1MiLCJ0bHMiOiJ0bHMiLCJpZCI6ImU1NzhkZmZiLWI3MWQtNDRkMy05MjQ5LTBiZWYyYzdkMzk2YyIsImFpZCI6MCwidiI6MiwiaG9zdCI6InN2OS5lZHUudHciLCJ0eXBlIjoibm9uZSIsInBhdGgiOiIvZWR1dHd2d3MiLCJuZXQiOiJ3cyIsImFkZCI6ImNmMzYuZXJhdy5ldS5vcmciLCJhbGxvd0luc2VjdXJlIjowLCJtZXRob2QiOiJub25lIiwicGVlciI6InN2OS5lZHUudHciLCJzbmkiOiJzdjkuZWR1LnR3In0=</v>
      </c>
      <c r="N19" s="84" t="str">
        <f t="shared" si="7"/>
        <v>trojan://e578dffb-b71d-44d3-9249-0bef2c7d396c@sv9.era.eu.org:443?peer=sv9.edu.tw&amp;fp=chrome&amp;sni=sv9.edu.tw&amp;alpn=http/1.1#SV9_Trojan</v>
      </c>
      <c r="O19" s="84" t="str">
        <f t="shared" si="8"/>
        <v xml:space="preserve"> vless://e578dffb-b71d-44d3-9249-0bef2c7d396c@sv9.era.eu.org:443?encryption=none&amp;security=tls&amp;fp=chrome&amp;type=tcp&amp;host=sv9.edu.tw&amp;headerType=none&amp;sni=sv9.edu.tw&amp;flow=xtls-rprx-vision#SV9_VLESS_TLS</v>
      </c>
    </row>
    <row r="20" spans="1:15" x14ac:dyDescent="0.25">
      <c r="A20" s="45">
        <v>19</v>
      </c>
      <c r="B20" s="46" t="str" cm="1">
        <f t="array" ref="B20">IFERROR(_xlfn._xlws.FILTER(节点信息!$C$76:$C$83,节点信息!$D$76:$D$83=$B$31),"")</f>
        <v>c1fe8fbd-a7d9-4188-86b1-88f2d9e0e471</v>
      </c>
      <c r="C20" s="31" t="str">
        <f>IF(B20&lt;&gt;"",节点信息!B76,"")</f>
        <v>va1.edu.tw</v>
      </c>
      <c r="D20" s="47" t="str">
        <f>IF(B20&lt;&gt;"","edutw","")</f>
        <v>edutw</v>
      </c>
      <c r="E20" s="47" t="str">
        <f t="shared" si="0"/>
        <v>va1.era.eu.org</v>
      </c>
      <c r="F20" s="47" t="s">
        <v>546</v>
      </c>
      <c r="G20" s="139" t="str">
        <f t="shared" si="2"/>
        <v>VA1_VMess_WS = vmess, cf37.eraw.eu.org, 443, username=c1fe8fbd-a7d9-4188-86b1-88f2d9e0e471, ws=true, tls=true, ws-path=/edutwvws, skip-cert-verify=false, udp-relay=false, vmess-aead=true, ws-headers=Host:va1.edu.tw, sni=va1.edu.tw</v>
      </c>
      <c r="H20" s="125" t="str">
        <f t="shared" si="3"/>
        <v>vless://c1fe8fbd-a7d9-4188-86b1-88f2d9e0e471@va1.era.eu.org:4567?encryption=none&amp;security=reality&amp;type=tcp&amp;sni=va1.edu.tw&amp;fp=chrome&amp;pbk=swgXIpGcJF34pYYwjPznkG4jZ6dH8oLaO2ImCbFTMVE&amp;sid=6ba85179e30d4fc2&amp;flow=xtls-rprx-vision#VA1_Reality_TLS</v>
      </c>
      <c r="I20" s="125" t="str">
        <f t="shared" si="4"/>
        <v>vless://c1fe8fbd-a7d9-4188-86b1-88f2d9e0e471@va1.era.eu.org:4567?encryption=none&amp;security=reality&amp;type=grpc&amp;sni=va1.edu.tw&amp;fp=chrome&amp;pbk=swgXIpGcJF34pYYwjPznkG4jZ6dH8oLaO2ImCbFTMVE&amp;sid=6ba85179e30d4fc2&amp;path=grpc&amp;serviceName=grpc#VA1_Reality_gRPC</v>
      </c>
      <c r="J20" s="84" t="str">
        <f t="shared" si="5"/>
        <v xml:space="preserve"> vless://c1fe8fbd-a7d9-4188-86b1-88f2d9e0e471@cf37.eraw.eu.org:443?encryption=none&amp;security=tls&amp;type=ws&amp;host=va1.edu.tw&amp;sni=va1.edu.tw&amp;fp=chrome&amp;path=/edutwws#VA1_VLESS_WS</v>
      </c>
      <c r="K20" s="84" t="str">
        <f t="shared" si="6"/>
        <v>vless://c1fe8fbd-a7d9-4188-86b1-88f2d9e0e471@cf37.eraw.eu.org:443?encryption=none&amp;security=tls&amp;type=grpc&amp;host=va1.edu.tw&amp;path=edutwgrpc&amp;fp=chrome&amp;serviceName=edutwgrpc&amp;alpn=h2&amp;sni=va1.edu.tw#VA1_VLESS_gRPC</v>
      </c>
      <c r="L20" s="84" t="str">
        <f t="shared" si="1"/>
        <v>trojan://c1fe8fbd-a7d9-4188-86b1-88f2d9e0e471@cf37.eraw.eu.org:443?encryption=none&amp;peer=va1.edu.tw&amp;fp=chrome&amp;security=tls&amp;type=grpc&amp;sni=va1.edu.tw&amp;alpn=h2&amp;path=edutwtrojangrpc&amp;serviceName=edutwtrojangrpc#VA1_Trojan_gRPC</v>
      </c>
      <c r="M20" s="84" t="str" cm="1">
        <f t="array" ref="M20">IF(B20&lt;&gt;"","vmess://"&amp;EncodeBase64("  {""port"":443,""ps"""&amp;":"""&amp;UPPER(LEFT(C20,FIND(".",C20)-1))&amp;"_VMess_WS"",""tls"":""tls"",""id"":"""&amp;B20&amp;""",""aid"":0,""v"":2,""host"":"""&amp;C20&amp;""",""type"":""none"",""path"":""/"&amp;D20&amp;"vws"&amp;""",""net"":""ws"",""add"":"""&amp;F20&amp;""""&amp;","&amp;"""allowInsecure"":0,""method"":""none"",""peer"":"""&amp;C20&amp;""",""sni"":"""&amp;C20&amp;"""}"),"")</f>
        <v>vmess://ICB7InBvcnQiOjQ0MywicHMiOiJWQTFfVk1lc3NfV1MiLCJ0bHMiOiJ0bHMiLCJpZCI6ImMxZmU4ZmJkLWE3ZDktNDE4OC04NmIxLTg4ZjJkOWUwZTQ3MSIsImFpZCI6MCwidiI6MiwiaG9zdCI6InZhMS5lZHUudHciLCJ0eXBlIjoibm9uZSIsInBhdGgiOiIvZWR1dHd2d3MiLCJuZXQiOiJ3cyIsImFkZCI6ImNmMzcuZXJhdy5ldS5vcmciLCJhbGxvd0luc2VjdXJlIjowLCJtZXRob2QiOiJub25lIiwicGVlciI6InZhMS5lZHUudHciLCJzbmkiOiJ2YTEuZWR1LnR3In0=</v>
      </c>
      <c r="N20" s="84" t="str">
        <f t="shared" si="7"/>
        <v>trojan://c1fe8fbd-a7d9-4188-86b1-88f2d9e0e471@va1.era.eu.org:443?peer=va1.edu.tw&amp;fp=chrome&amp;sni=va1.edu.tw&amp;alpn=http/1.1#VA1_Trojan</v>
      </c>
      <c r="O20" s="84" t="str">
        <f t="shared" si="8"/>
        <v xml:space="preserve"> vless://c1fe8fbd-a7d9-4188-86b1-88f2d9e0e471@va1.era.eu.org:443?encryption=none&amp;security=tls&amp;fp=chrome&amp;type=tcp&amp;host=va1.edu.tw&amp;headerType=none&amp;sni=va1.edu.tw&amp;flow=xtls-rprx-vision#VA1_VLESS_TLS</v>
      </c>
    </row>
    <row r="21" spans="1:15" x14ac:dyDescent="0.25">
      <c r="A21" s="45">
        <v>20</v>
      </c>
      <c r="B21" s="46" t="str" cm="1">
        <f t="array" ref="B21">IFERROR(_xlfn._xlws.FILTER(节点信息!$G$76:$G$83,节点信息!$H$76:$H$83=$B$31),"")</f>
        <v>0cf448a8-dfc9-49f7-a804-95948442d574</v>
      </c>
      <c r="C21" s="31" t="str">
        <f>IF(B21&lt;&gt;"",节点信息!B77,"")</f>
        <v>va1.edu.tw</v>
      </c>
      <c r="D21" s="47" t="str">
        <f>IF(B21&lt;&gt;"","edutw","")</f>
        <v>edutw</v>
      </c>
      <c r="E21" s="47" t="str">
        <f t="shared" si="0"/>
        <v>va1.era.eu.org</v>
      </c>
      <c r="F21" s="47" t="s">
        <v>547</v>
      </c>
      <c r="G21" s="139" t="str">
        <f t="shared" si="2"/>
        <v>VA1_VMess_WS = vmess, cf38.eraw.eu.org, 443, username=0cf448a8-dfc9-49f7-a804-95948442d574, ws=true, tls=true, ws-path=/edutwvws, skip-cert-verify=false, udp-relay=false, vmess-aead=true, ws-headers=Host:va1.edu.tw, sni=va1.edu.tw</v>
      </c>
      <c r="H21" s="125" t="str">
        <f t="shared" si="3"/>
        <v>vless://0cf448a8-dfc9-49f7-a804-95948442d574@va1.era.eu.org:4567?encryption=none&amp;security=reality&amp;type=tcp&amp;sni=va1.edu.tw&amp;fp=chrome&amp;pbk=swgXIpGcJF34pYYwjPznkG4jZ6dH8oLaO2ImCbFTMVE&amp;sid=6ba85179e30d4fc2&amp;flow=xtls-rprx-vision#VA1_Reality_TLS</v>
      </c>
      <c r="I21" s="125" t="str">
        <f t="shared" si="4"/>
        <v>vless://0cf448a8-dfc9-49f7-a804-95948442d574@va1.era.eu.org:4567?encryption=none&amp;security=reality&amp;type=grpc&amp;sni=va1.edu.tw&amp;fp=chrome&amp;pbk=swgXIpGcJF34pYYwjPznkG4jZ6dH8oLaO2ImCbFTMVE&amp;sid=6ba85179e30d4fc2&amp;path=grpc&amp;serviceName=grpc#VA1_Reality_gRPC</v>
      </c>
      <c r="J21" s="84" t="str">
        <f t="shared" si="5"/>
        <v xml:space="preserve"> vless://0cf448a8-dfc9-49f7-a804-95948442d574@cf38.eraw.eu.org:443?encryption=none&amp;security=tls&amp;type=ws&amp;host=va1.edu.tw&amp;sni=va1.edu.tw&amp;fp=chrome&amp;path=/edutwws#VA1_VLESS_WS</v>
      </c>
      <c r="K21" s="84" t="str">
        <f t="shared" si="6"/>
        <v>vless://0cf448a8-dfc9-49f7-a804-95948442d574@cf38.eraw.eu.org:443?encryption=none&amp;security=tls&amp;type=grpc&amp;host=va1.edu.tw&amp;path=edutwgrpc&amp;fp=chrome&amp;serviceName=edutwgrpc&amp;alpn=h2&amp;sni=va1.edu.tw#VA1_VLESS_gRPC</v>
      </c>
      <c r="L21" s="84" t="str">
        <f t="shared" si="1"/>
        <v>trojan://0cf448a8-dfc9-49f7-a804-95948442d574@cf38.eraw.eu.org:443?encryption=none&amp;peer=va1.edu.tw&amp;fp=chrome&amp;security=tls&amp;type=grpc&amp;sni=va1.edu.tw&amp;alpn=h2&amp;path=edutwtrojangrpc&amp;serviceName=edutwtrojangrpc#VA1_Trojan_gRPC</v>
      </c>
      <c r="M21" s="84" t="str" cm="1">
        <f t="array" ref="M21">IF(B21&lt;&gt;"","vmess://"&amp;EncodeBase64("  {""port"":443,""ps"""&amp;":"""&amp;UPPER(LEFT(C21,FIND(".",C21)-1))&amp;"_VMess_WS"",""tls"":""tls"",""id"":"""&amp;B21&amp;""",""aid"":0,""v"":2,""host"":"""&amp;C21&amp;""",""type"":""none"",""path"":""/"&amp;D21&amp;"vws"&amp;""",""net"":""ws"",""add"":"""&amp;F21&amp;""""&amp;","&amp;"""allowInsecure"":0,""method"":""none"",""peer"":"""&amp;C21&amp;""",""sni"":"""&amp;C21&amp;"""}"),"")</f>
        <v>vmess://ICB7InBvcnQiOjQ0MywicHMiOiJWQTFfVk1lc3NfV1MiLCJ0bHMiOiJ0bHMiLCJpZCI6IjBjZjQ0OGE4LWRmYzktNDlmNy1hODA0LTk1OTQ4NDQyZDU3NCIsImFpZCI6MCwidiI6MiwiaG9zdCI6InZhMS5lZHUudHciLCJ0eXBlIjoibm9uZSIsInBhdGgiOiIvZWR1dHd2d3MiLCJuZXQiOiJ3cyIsImFkZCI6ImNmMzguZXJhdy5ldS5vcmciLCJhbGxvd0luc2VjdXJlIjowLCJtZXRob2QiOiJub25lIiwicGVlciI6InZhMS5lZHUudHciLCJzbmkiOiJ2YTEuZWR1LnR3In0=</v>
      </c>
      <c r="N21" s="84" t="str">
        <f t="shared" si="7"/>
        <v>trojan://0cf448a8-dfc9-49f7-a804-95948442d574@va1.era.eu.org:443?peer=va1.edu.tw&amp;fp=chrome&amp;sni=va1.edu.tw&amp;alpn=http/1.1#VA1_Trojan</v>
      </c>
      <c r="O21" s="84" t="str">
        <f t="shared" si="8"/>
        <v xml:space="preserve"> vless://0cf448a8-dfc9-49f7-a804-95948442d574@va1.era.eu.org:443?encryption=none&amp;security=tls&amp;fp=chrome&amp;type=tcp&amp;host=va1.edu.tw&amp;headerType=none&amp;sni=va1.edu.tw&amp;flow=xtls-rprx-vision#VA1_VLESS_TLS</v>
      </c>
    </row>
    <row r="22" spans="1:15" x14ac:dyDescent="0.25">
      <c r="A22" s="45">
        <v>21</v>
      </c>
      <c r="B22" s="46" t="str" cm="1">
        <f t="array" ref="B22">IFERROR(_xlfn._xlws.FILTER(节点信息!$K$76:$K$83,节点信息!$L$76:$L$83=$B$31),"")</f>
        <v>c8776d64-1348-475a-ab6f-687f25ca9447</v>
      </c>
      <c r="C22" s="31" t="str">
        <f>IF(B22&lt;&gt;"",节点信息!B78,"")</f>
        <v>va1.edu.tw</v>
      </c>
      <c r="D22" s="47" t="str">
        <f>IF(B22&lt;&gt;"","edutw","")</f>
        <v>edutw</v>
      </c>
      <c r="E22" s="47" t="str">
        <f t="shared" si="0"/>
        <v>va1.era.eu.org</v>
      </c>
      <c r="F22" s="47" t="s">
        <v>548</v>
      </c>
      <c r="G22" s="139" t="str">
        <f t="shared" si="2"/>
        <v>VA1_VMess_WS = vmess, cf39.eraw.eu.org, 443, username=c8776d64-1348-475a-ab6f-687f25ca9447, ws=true, tls=true, ws-path=/edutwvws, skip-cert-verify=false, udp-relay=false, vmess-aead=true, ws-headers=Host:va1.edu.tw, sni=va1.edu.tw</v>
      </c>
      <c r="H22" s="125" t="str">
        <f t="shared" si="3"/>
        <v>vless://c8776d64-1348-475a-ab6f-687f25ca9447@va1.era.eu.org:4567?encryption=none&amp;security=reality&amp;type=tcp&amp;sni=va1.edu.tw&amp;fp=chrome&amp;pbk=swgXIpGcJF34pYYwjPznkG4jZ6dH8oLaO2ImCbFTMVE&amp;sid=6ba85179e30d4fc2&amp;flow=xtls-rprx-vision#VA1_Reality_TLS</v>
      </c>
      <c r="I22" s="125" t="str">
        <f t="shared" si="4"/>
        <v>vless://c8776d64-1348-475a-ab6f-687f25ca9447@va1.era.eu.org:4567?encryption=none&amp;security=reality&amp;type=grpc&amp;sni=va1.edu.tw&amp;fp=chrome&amp;pbk=swgXIpGcJF34pYYwjPznkG4jZ6dH8oLaO2ImCbFTMVE&amp;sid=6ba85179e30d4fc2&amp;path=grpc&amp;serviceName=grpc#VA1_Reality_gRPC</v>
      </c>
      <c r="J22" s="84" t="str">
        <f t="shared" si="5"/>
        <v xml:space="preserve"> vless://c8776d64-1348-475a-ab6f-687f25ca9447@cf39.eraw.eu.org:443?encryption=none&amp;security=tls&amp;type=ws&amp;host=va1.edu.tw&amp;sni=va1.edu.tw&amp;fp=chrome&amp;path=/edutwws#VA1_VLESS_WS</v>
      </c>
      <c r="K22" s="84" t="str">
        <f t="shared" si="6"/>
        <v>vless://c8776d64-1348-475a-ab6f-687f25ca9447@cf39.eraw.eu.org:443?encryption=none&amp;security=tls&amp;type=grpc&amp;host=va1.edu.tw&amp;path=edutwgrpc&amp;fp=chrome&amp;serviceName=edutwgrpc&amp;alpn=h2&amp;sni=va1.edu.tw#VA1_VLESS_gRPC</v>
      </c>
      <c r="L22" s="84" t="str">
        <f t="shared" si="1"/>
        <v>trojan://c8776d64-1348-475a-ab6f-687f25ca9447@cf39.eraw.eu.org:443?encryption=none&amp;peer=va1.edu.tw&amp;fp=chrome&amp;security=tls&amp;type=grpc&amp;sni=va1.edu.tw&amp;alpn=h2&amp;path=edutwtrojangrpc&amp;serviceName=edutwtrojangrpc#VA1_Trojan_gRPC</v>
      </c>
      <c r="M22" s="84" t="str" cm="1">
        <f t="array" ref="M22">IF(B22&lt;&gt;"","vmess://"&amp;EncodeBase64("  {""port"":443,""ps"""&amp;":"""&amp;UPPER(LEFT(C22,FIND(".",C22)-1))&amp;"_VMess_WS"",""tls"":""tls"",""id"":"""&amp;B22&amp;""",""aid"":0,""v"":2,""host"":"""&amp;C22&amp;""",""type"":""none"",""path"":""/"&amp;D22&amp;"vws"&amp;""",""net"":""ws"",""add"":"""&amp;F22&amp;""""&amp;","&amp;"""allowInsecure"":0,""method"":""none"",""peer"":"""&amp;C22&amp;""",""sni"":"""&amp;C22&amp;"""}"),"")</f>
        <v>vmess://ICB7InBvcnQiOjQ0MywicHMiOiJWQTFfVk1lc3NfV1MiLCJ0bHMiOiJ0bHMiLCJpZCI6ImM4Nzc2ZDY0LTEzNDgtNDc1YS1hYjZmLTY4N2YyNWNhOTQ0NyIsImFpZCI6MCwidiI6MiwiaG9zdCI6InZhMS5lZHUudHciLCJ0eXBlIjoibm9uZSIsInBhdGgiOiIvZWR1dHd2d3MiLCJuZXQiOiJ3cyIsImFkZCI6ImNmMzkuZXJhdy5ldS5vcmciLCJhbGxvd0luc2VjdXJlIjowLCJtZXRob2QiOiJub25lIiwicGVlciI6InZhMS5lZHUudHciLCJzbmkiOiJ2YTEuZWR1LnR3In0=</v>
      </c>
      <c r="N22" s="84" t="str">
        <f t="shared" si="7"/>
        <v>trojan://c8776d64-1348-475a-ab6f-687f25ca9447@va1.era.eu.org:443?peer=va1.edu.tw&amp;fp=chrome&amp;sni=va1.edu.tw&amp;alpn=http/1.1#VA1_Trojan</v>
      </c>
      <c r="O22" s="84" t="str">
        <f t="shared" si="8"/>
        <v xml:space="preserve"> vless://c8776d64-1348-475a-ab6f-687f25ca9447@va1.era.eu.org:443?encryption=none&amp;security=tls&amp;fp=chrome&amp;type=tcp&amp;host=va1.edu.tw&amp;headerType=none&amp;sni=va1.edu.tw&amp;flow=xtls-rprx-vision#VA1_VLESS_TLS</v>
      </c>
    </row>
    <row r="23" spans="1:15" x14ac:dyDescent="0.25">
      <c r="A23" s="45">
        <v>22</v>
      </c>
      <c r="B23" s="46" t="str" cm="1">
        <f t="array" ref="B23">IFERROR(_xlfn._xlws.FILTER(节点信息!$O$76:$O$83,节点信息!$P$76:$P$83=$B$31),"")</f>
        <v>5f5e31ad-8788-47e6-b897-93a029561a46</v>
      </c>
      <c r="C23" s="31" t="str">
        <f>IF(B23&lt;&gt;"",节点信息!B79,"")</f>
        <v>va1.edu.tw</v>
      </c>
      <c r="D23" s="47" t="str">
        <f>IF(B23&lt;&gt;"","edutw","")</f>
        <v>edutw</v>
      </c>
      <c r="E23" s="47" t="str">
        <f t="shared" si="0"/>
        <v>va1.era.eu.org</v>
      </c>
      <c r="F23" s="47" t="s">
        <v>549</v>
      </c>
      <c r="G23" s="139" t="str">
        <f t="shared" si="2"/>
        <v>VA1_VMess_WS = vmess, cf40.eraw.eu.org, 443, username=5f5e31ad-8788-47e6-b897-93a029561a46, ws=true, tls=true, ws-path=/edutwvws, skip-cert-verify=false, udp-relay=false, vmess-aead=true, ws-headers=Host:va1.edu.tw, sni=va1.edu.tw</v>
      </c>
      <c r="H23" s="125" t="str">
        <f t="shared" si="3"/>
        <v>vless://5f5e31ad-8788-47e6-b897-93a029561a46@va1.era.eu.org:4567?encryption=none&amp;security=reality&amp;type=tcp&amp;sni=va1.edu.tw&amp;fp=chrome&amp;pbk=swgXIpGcJF34pYYwjPznkG4jZ6dH8oLaO2ImCbFTMVE&amp;sid=6ba85179e30d4fc2&amp;flow=xtls-rprx-vision#VA1_Reality_TLS</v>
      </c>
      <c r="I23" s="125" t="str">
        <f t="shared" si="4"/>
        <v>vless://5f5e31ad-8788-47e6-b897-93a029561a46@va1.era.eu.org:4567?encryption=none&amp;security=reality&amp;type=grpc&amp;sni=va1.edu.tw&amp;fp=chrome&amp;pbk=swgXIpGcJF34pYYwjPznkG4jZ6dH8oLaO2ImCbFTMVE&amp;sid=6ba85179e30d4fc2&amp;path=grpc&amp;serviceName=grpc#VA1_Reality_gRPC</v>
      </c>
      <c r="J23" s="84" t="str">
        <f t="shared" si="5"/>
        <v xml:space="preserve"> vless://5f5e31ad-8788-47e6-b897-93a029561a46@cf40.eraw.eu.org:443?encryption=none&amp;security=tls&amp;type=ws&amp;host=va1.edu.tw&amp;sni=va1.edu.tw&amp;fp=chrome&amp;path=/edutwws#VA1_VLESS_WS</v>
      </c>
      <c r="K23" s="84" t="str">
        <f t="shared" si="6"/>
        <v>vless://5f5e31ad-8788-47e6-b897-93a029561a46@cf40.eraw.eu.org:443?encryption=none&amp;security=tls&amp;type=grpc&amp;host=va1.edu.tw&amp;path=edutwgrpc&amp;fp=chrome&amp;serviceName=edutwgrpc&amp;alpn=h2&amp;sni=va1.edu.tw#VA1_VLESS_gRPC</v>
      </c>
      <c r="L23" s="84" t="str">
        <f t="shared" si="1"/>
        <v>trojan://5f5e31ad-8788-47e6-b897-93a029561a46@cf40.eraw.eu.org:443?encryption=none&amp;peer=va1.edu.tw&amp;fp=chrome&amp;security=tls&amp;type=grpc&amp;sni=va1.edu.tw&amp;alpn=h2&amp;path=edutwtrojangrpc&amp;serviceName=edutwtrojangrpc#VA1_Trojan_gRPC</v>
      </c>
      <c r="M23" s="84" t="str" cm="1">
        <f t="array" ref="M23">IF(B23&lt;&gt;"","vmess://"&amp;EncodeBase64("  {""port"":443,""ps"""&amp;":"""&amp;UPPER(LEFT(C23,FIND(".",C23)-1))&amp;"_VMess_WS"",""tls"":""tls"",""id"":"""&amp;B23&amp;""",""aid"":0,""v"":2,""host"":"""&amp;C23&amp;""",""type"":""none"",""path"":""/"&amp;D23&amp;"vws"&amp;""",""net"":""ws"",""add"":"""&amp;F23&amp;""""&amp;","&amp;"""allowInsecure"":0,""method"":""none"",""peer"":"""&amp;C23&amp;""",""sni"":"""&amp;C23&amp;"""}"),"")</f>
        <v>vmess://ICB7InBvcnQiOjQ0MywicHMiOiJWQTFfVk1lc3NfV1MiLCJ0bHMiOiJ0bHMiLCJpZCI6IjVmNWUzMWFkLTg3ODgtNDdlNi1iODk3LTkzYTAyOTU2MWE0NiIsImFpZCI6MCwidiI6MiwiaG9zdCI6InZhMS5lZHUudHciLCJ0eXBlIjoibm9uZSIsInBhdGgiOiIvZWR1dHd2d3MiLCJuZXQiOiJ3cyIsImFkZCI6ImNmNDAuZXJhdy5ldS5vcmciLCJhbGxvd0luc2VjdXJlIjowLCJtZXRob2QiOiJub25lIiwicGVlciI6InZhMS5lZHUudHciLCJzbmkiOiJ2YTEuZWR1LnR3In0=</v>
      </c>
      <c r="N23" s="84" t="str">
        <f t="shared" si="7"/>
        <v>trojan://5f5e31ad-8788-47e6-b897-93a029561a46@va1.era.eu.org:443?peer=va1.edu.tw&amp;fp=chrome&amp;sni=va1.edu.tw&amp;alpn=http/1.1#VA1_Trojan</v>
      </c>
      <c r="O23" s="84" t="str">
        <f t="shared" si="8"/>
        <v xml:space="preserve"> vless://5f5e31ad-8788-47e6-b897-93a029561a46@va1.era.eu.org:443?encryption=none&amp;security=tls&amp;fp=chrome&amp;type=tcp&amp;host=va1.edu.tw&amp;headerType=none&amp;sni=va1.edu.tw&amp;flow=xtls-rprx-vision#VA1_VLESS_TLS</v>
      </c>
    </row>
    <row r="24" spans="1:15" x14ac:dyDescent="0.25">
      <c r="A24" s="45">
        <v>23</v>
      </c>
      <c r="B24" s="46" t="str" cm="1">
        <f t="array" ref="B24">IFERROR(_xlfn._xlws.FILTER(节点信息!$S$76:$S$83,节点信息!$T$76:$T$83=$B$31),"")</f>
        <v>1d861cee-a4f9-4be8-a157-aec5bda1fb79</v>
      </c>
      <c r="C24" s="31" t="str">
        <f>IF(B24&lt;&gt;"",节点信息!B80,"")</f>
        <v>va1.edu.tw</v>
      </c>
      <c r="D24" s="47" t="str">
        <f>IF(B24&lt;&gt;"","edutw","")</f>
        <v>edutw</v>
      </c>
      <c r="E24" s="47" t="str">
        <f t="shared" si="0"/>
        <v>va1.era.eu.org</v>
      </c>
      <c r="F24" s="47" t="s">
        <v>550</v>
      </c>
      <c r="G24" s="139" t="str">
        <f t="shared" si="2"/>
        <v>VA1_VMess_WS = vmess, cf41.eraw.eu.org, 443, username=1d861cee-a4f9-4be8-a157-aec5bda1fb79, ws=true, tls=true, ws-path=/edutwvws, skip-cert-verify=false, udp-relay=false, vmess-aead=true, ws-headers=Host:va1.edu.tw, sni=va1.edu.tw</v>
      </c>
      <c r="H24" s="125" t="str">
        <f t="shared" si="3"/>
        <v>vless://1d861cee-a4f9-4be8-a157-aec5bda1fb79@va1.era.eu.org:4567?encryption=none&amp;security=reality&amp;type=tcp&amp;sni=va1.edu.tw&amp;fp=chrome&amp;pbk=swgXIpGcJF34pYYwjPznkG4jZ6dH8oLaO2ImCbFTMVE&amp;sid=6ba85179e30d4fc2&amp;flow=xtls-rprx-vision#VA1_Reality_TLS</v>
      </c>
      <c r="I24" s="125" t="str">
        <f t="shared" si="4"/>
        <v>vless://1d861cee-a4f9-4be8-a157-aec5bda1fb79@va1.era.eu.org:4567?encryption=none&amp;security=reality&amp;type=grpc&amp;sni=va1.edu.tw&amp;fp=chrome&amp;pbk=swgXIpGcJF34pYYwjPznkG4jZ6dH8oLaO2ImCbFTMVE&amp;sid=6ba85179e30d4fc2&amp;path=grpc&amp;serviceName=grpc#VA1_Reality_gRPC</v>
      </c>
      <c r="J24" s="84" t="str">
        <f t="shared" si="5"/>
        <v xml:space="preserve"> vless://1d861cee-a4f9-4be8-a157-aec5bda1fb79@cf41.eraw.eu.org:443?encryption=none&amp;security=tls&amp;type=ws&amp;host=va1.edu.tw&amp;sni=va1.edu.tw&amp;fp=chrome&amp;path=/edutwws#VA1_VLESS_WS</v>
      </c>
      <c r="K24" s="84" t="str">
        <f t="shared" si="6"/>
        <v>vless://1d861cee-a4f9-4be8-a157-aec5bda1fb79@cf41.eraw.eu.org:443?encryption=none&amp;security=tls&amp;type=grpc&amp;host=va1.edu.tw&amp;path=edutwgrpc&amp;fp=chrome&amp;serviceName=edutwgrpc&amp;alpn=h2&amp;sni=va1.edu.tw#VA1_VLESS_gRPC</v>
      </c>
      <c r="L24" s="84" t="str">
        <f t="shared" si="1"/>
        <v>trojan://1d861cee-a4f9-4be8-a157-aec5bda1fb79@cf41.eraw.eu.org:443?encryption=none&amp;peer=va1.edu.tw&amp;fp=chrome&amp;security=tls&amp;type=grpc&amp;sni=va1.edu.tw&amp;alpn=h2&amp;path=edutwtrojangrpc&amp;serviceName=edutwtrojangrpc#VA1_Trojan_gRPC</v>
      </c>
      <c r="M24" s="84" t="str" cm="1">
        <f t="array" ref="M24">IF(B24&lt;&gt;"","vmess://"&amp;EncodeBase64("  {""port"":443,""ps"""&amp;":"""&amp;UPPER(LEFT(C24,FIND(".",C24)-1))&amp;"_VMess_WS"",""tls"":""tls"",""id"":"""&amp;B24&amp;""",""aid"":0,""v"":2,""host"":"""&amp;C24&amp;""",""type"":""none"",""path"":""/"&amp;D24&amp;"vws"&amp;""",""net"":""ws"",""add"":"""&amp;F24&amp;""""&amp;","&amp;"""allowInsecure"":0,""method"":""none"",""peer"":"""&amp;C24&amp;""",""sni"":"""&amp;C24&amp;"""}"),"")</f>
        <v>vmess://ICB7InBvcnQiOjQ0MywicHMiOiJWQTFfVk1lc3NfV1MiLCJ0bHMiOiJ0bHMiLCJpZCI6IjFkODYxY2VlLWE0ZjktNGJlOC1hMTU3LWFlYzViZGExZmI3OSIsImFpZCI6MCwidiI6MiwiaG9zdCI6InZhMS5lZHUudHciLCJ0eXBlIjoibm9uZSIsInBhdGgiOiIvZWR1dHd2d3MiLCJuZXQiOiJ3cyIsImFkZCI6ImNmNDEuZXJhdy5ldS5vcmciLCJhbGxvd0luc2VjdXJlIjowLCJtZXRob2QiOiJub25lIiwicGVlciI6InZhMS5lZHUudHciLCJzbmkiOiJ2YTEuZWR1LnR3In0=</v>
      </c>
      <c r="N24" s="84" t="str">
        <f t="shared" si="7"/>
        <v>trojan://1d861cee-a4f9-4be8-a157-aec5bda1fb79@va1.era.eu.org:443?peer=va1.edu.tw&amp;fp=chrome&amp;sni=va1.edu.tw&amp;alpn=http/1.1#VA1_Trojan</v>
      </c>
      <c r="O24" s="84" t="str">
        <f t="shared" si="8"/>
        <v xml:space="preserve"> vless://1d861cee-a4f9-4be8-a157-aec5bda1fb79@va1.era.eu.org:443?encryption=none&amp;security=tls&amp;fp=chrome&amp;type=tcp&amp;host=va1.edu.tw&amp;headerType=none&amp;sni=va1.edu.tw&amp;flow=xtls-rprx-vision#VA1_VLESS_TLS</v>
      </c>
    </row>
    <row r="25" spans="1:15" x14ac:dyDescent="0.25">
      <c r="A25" s="45">
        <v>24</v>
      </c>
      <c r="B25" s="46" t="str" cm="1">
        <f t="array" ref="B25">IFERROR(_xlfn._xlws.FILTER(节点信息!$C$86:$C$93,节点信息!$D$86:$D$93=$B$31),"")</f>
        <v>6b1825bc-3001-41e9-8357-efd94d20f782</v>
      </c>
      <c r="C25" s="31" t="str">
        <f>IF(B25&lt;&gt;"",节点信息!B81,"")</f>
        <v>va1.edu.tw</v>
      </c>
      <c r="D25" s="47" t="str">
        <f>IF(B25&lt;&gt;"","edutw","")</f>
        <v>edutw</v>
      </c>
      <c r="E25" s="47" t="str">
        <f t="shared" si="0"/>
        <v>va1.era.eu.org</v>
      </c>
      <c r="F25" s="47" t="s">
        <v>551</v>
      </c>
      <c r="G25" s="139" t="str">
        <f t="shared" si="2"/>
        <v>VA1_VMess_WS = vmess, cf42.eraw.eu.org, 443, username=6b1825bc-3001-41e9-8357-efd94d20f782, ws=true, tls=true, ws-path=/edutwvws, skip-cert-verify=false, udp-relay=false, vmess-aead=true, ws-headers=Host:va1.edu.tw, sni=va1.edu.tw</v>
      </c>
      <c r="H25" s="125" t="str">
        <f t="shared" si="3"/>
        <v>vless://6b1825bc-3001-41e9-8357-efd94d20f782@va1.era.eu.org:4567?encryption=none&amp;security=reality&amp;type=tcp&amp;sni=va1.edu.tw&amp;fp=chrome&amp;pbk=swgXIpGcJF34pYYwjPznkG4jZ6dH8oLaO2ImCbFTMVE&amp;sid=6ba85179e30d4fc2&amp;flow=xtls-rprx-vision#VA1_Reality_TLS</v>
      </c>
      <c r="I25" s="125" t="str">
        <f t="shared" si="4"/>
        <v>vless://6b1825bc-3001-41e9-8357-efd94d20f782@va1.era.eu.org:4567?encryption=none&amp;security=reality&amp;type=grpc&amp;sni=va1.edu.tw&amp;fp=chrome&amp;pbk=swgXIpGcJF34pYYwjPznkG4jZ6dH8oLaO2ImCbFTMVE&amp;sid=6ba85179e30d4fc2&amp;path=grpc&amp;serviceName=grpc#VA1_Reality_gRPC</v>
      </c>
      <c r="J25" s="84" t="str">
        <f t="shared" si="5"/>
        <v xml:space="preserve"> vless://6b1825bc-3001-41e9-8357-efd94d20f782@cf42.eraw.eu.org:443?encryption=none&amp;security=tls&amp;type=ws&amp;host=va1.edu.tw&amp;sni=va1.edu.tw&amp;fp=chrome&amp;path=/edutwws#VA1_VLESS_WS</v>
      </c>
      <c r="K25" s="84" t="str">
        <f t="shared" si="6"/>
        <v>vless://6b1825bc-3001-41e9-8357-efd94d20f782@cf42.eraw.eu.org:443?encryption=none&amp;security=tls&amp;type=grpc&amp;host=va1.edu.tw&amp;path=edutwgrpc&amp;fp=chrome&amp;serviceName=edutwgrpc&amp;alpn=h2&amp;sni=va1.edu.tw#VA1_VLESS_gRPC</v>
      </c>
      <c r="L25" s="84" t="str">
        <f t="shared" si="1"/>
        <v>trojan://6b1825bc-3001-41e9-8357-efd94d20f782@cf42.eraw.eu.org:443?encryption=none&amp;peer=va1.edu.tw&amp;fp=chrome&amp;security=tls&amp;type=grpc&amp;sni=va1.edu.tw&amp;alpn=h2&amp;path=edutwtrojangrpc&amp;serviceName=edutwtrojangrpc#VA1_Trojan_gRPC</v>
      </c>
      <c r="M25" s="84" t="str" cm="1">
        <f t="array" ref="M25">IF(B25&lt;&gt;"","vmess://"&amp;EncodeBase64("  {""port"":443,""ps"""&amp;":"""&amp;UPPER(LEFT(C25,FIND(".",C25)-1))&amp;"_VMess_WS"",""tls"":""tls"",""id"":"""&amp;B25&amp;""",""aid"":0,""v"":2,""host"":"""&amp;C25&amp;""",""type"":""none"",""path"":""/"&amp;D25&amp;"vws"&amp;""",""net"":""ws"",""add"":"""&amp;F25&amp;""""&amp;","&amp;"""allowInsecure"":0,""method"":""none"",""peer"":"""&amp;C25&amp;""",""sni"":"""&amp;C25&amp;"""}"),"")</f>
        <v>vmess://ICB7InBvcnQiOjQ0MywicHMiOiJWQTFfVk1lc3NfV1MiLCJ0bHMiOiJ0bHMiLCJpZCI6IjZiMTgyNWJjLTMwMDEtNDFlOS04MzU3LWVmZDk0ZDIwZjc4MiIsImFpZCI6MCwidiI6MiwiaG9zdCI6InZhMS5lZHUudHciLCJ0eXBlIjoibm9uZSIsInBhdGgiOiIvZWR1dHd2d3MiLCJuZXQiOiJ3cyIsImFkZCI6ImNmNDIuZXJhdy5ldS5vcmciLCJhbGxvd0luc2VjdXJlIjowLCJtZXRob2QiOiJub25lIiwicGVlciI6InZhMS5lZHUudHciLCJzbmkiOiJ2YTEuZWR1LnR3In0=</v>
      </c>
      <c r="N25" s="84" t="str">
        <f t="shared" si="7"/>
        <v>trojan://6b1825bc-3001-41e9-8357-efd94d20f782@va1.era.eu.org:443?peer=va1.edu.tw&amp;fp=chrome&amp;sni=va1.edu.tw&amp;alpn=http/1.1#VA1_Trojan</v>
      </c>
      <c r="O25" s="84" t="str">
        <f t="shared" si="8"/>
        <v xml:space="preserve"> vless://6b1825bc-3001-41e9-8357-efd94d20f782@va1.era.eu.org:443?encryption=none&amp;security=tls&amp;fp=chrome&amp;type=tcp&amp;host=va1.edu.tw&amp;headerType=none&amp;sni=va1.edu.tw&amp;flow=xtls-rprx-vision#VA1_VLESS_TLS</v>
      </c>
    </row>
    <row r="26" spans="1:15" x14ac:dyDescent="0.25">
      <c r="A26" s="45">
        <v>25</v>
      </c>
      <c r="B26" s="46" t="str" cm="1">
        <f t="array" ref="B26">IFERROR(_xlfn._xlws.FILTER(节点信息!$K$3:$K$27,节点信息!$L$3:$L$27=$B$31),"")</f>
        <v>d0668693-e51d-443a-b333-42de54009561</v>
      </c>
      <c r="C26" s="31" t="str">
        <f>IF(B26&lt;&gt;"",节点信息!J3,"")</f>
        <v>gcp1.edu.tw</v>
      </c>
      <c r="D26" s="47" t="str">
        <f>IF(B26&lt;&gt;"","edutw","")</f>
        <v>edutw</v>
      </c>
      <c r="E26" s="47" t="str">
        <f t="shared" si="0"/>
        <v>gcp1.era.eu.org</v>
      </c>
      <c r="F26" s="47" t="s">
        <v>552</v>
      </c>
      <c r="G26" s="139" t="str">
        <f t="shared" si="2"/>
        <v>GCP1_VMess_WS = vmess, cf43.eraw.eu.org, 443, username=d0668693-e51d-443a-b333-42de54009561, ws=true, tls=true, ws-path=/edutwvws, skip-cert-verify=false, udp-relay=false, vmess-aead=true, ws-headers=Host:gcp1.edu.tw, sni=gcp1.edu.tw</v>
      </c>
      <c r="H26" s="125" t="str">
        <f t="shared" si="3"/>
        <v>vless://d0668693-e51d-443a-b333-42de54009561@gcp1.era.eu.org:4567?encryption=none&amp;security=reality&amp;type=tcp&amp;sni=gcp1.edu.tw&amp;fp=chrome&amp;pbk=swgXIpGcJF34pYYwjPznkG4jZ6dH8oLaO2ImCbFTMVE&amp;sid=6ba85179e30d4fc2&amp;flow=xtls-rprx-vision#GCP1_Reality_TLS</v>
      </c>
      <c r="I26" s="125" t="str">
        <f t="shared" si="4"/>
        <v>vless://d0668693-e51d-443a-b333-42de54009561@gcp1.era.eu.org:4567?encryption=none&amp;security=reality&amp;type=grpc&amp;sni=gcp1.edu.tw&amp;fp=chrome&amp;pbk=swgXIpGcJF34pYYwjPznkG4jZ6dH8oLaO2ImCbFTMVE&amp;sid=6ba85179e30d4fc2&amp;path=grpc&amp;serviceName=grpc#GCP1_Reality_gRPC</v>
      </c>
      <c r="J26" s="84" t="str">
        <f t="shared" si="5"/>
        <v xml:space="preserve"> vless://d0668693-e51d-443a-b333-42de54009561@cf43.eraw.eu.org:443?encryption=none&amp;security=tls&amp;type=ws&amp;host=gcp1.edu.tw&amp;sni=gcp1.edu.tw&amp;fp=chrome&amp;path=/edutwws#GCP1_VLESS_WS</v>
      </c>
      <c r="K26" s="84" t="str">
        <f t="shared" si="6"/>
        <v>vless://d0668693-e51d-443a-b333-42de54009561@cf43.eraw.eu.org:443?encryption=none&amp;security=tls&amp;type=grpc&amp;host=gcp1.edu.tw&amp;path=edutwgrpc&amp;fp=chrome&amp;serviceName=edutwgrpc&amp;alpn=h2&amp;sni=gcp1.edu.tw#GCP1_VLESS_gRPC</v>
      </c>
      <c r="L26" s="84" t="str">
        <f t="shared" si="1"/>
        <v>trojan://d0668693-e51d-443a-b333-42de54009561@cf43.eraw.eu.org:443?encryption=none&amp;peer=gcp1.edu.tw&amp;fp=chrome&amp;security=tls&amp;type=grpc&amp;sni=gcp1.edu.tw&amp;alpn=h2&amp;path=edutwtrojangrpc&amp;serviceName=edutwtrojangrpc#GCP1_Trojan_gRPC</v>
      </c>
      <c r="M26" s="84" t="str" cm="1">
        <f t="array" ref="M26">IF(B26&lt;&gt;"","vmess://"&amp;EncodeBase64("  {""port"":443,""ps"""&amp;":"""&amp;UPPER(LEFT(C26,FIND(".",C26)-1))&amp;"_VMess_WS"",""tls"":""tls"",""id"":"""&amp;B26&amp;""",""aid"":0,""v"":2,""host"":"""&amp;C26&amp;""",""type"":""none"",""path"":""/"&amp;D26&amp;"vws"&amp;""",""net"":""ws"",""add"":"""&amp;F26&amp;""""&amp;","&amp;"""allowInsecure"":0,""method"":""none"",""peer"":"""&amp;C26&amp;""",""sni"":"""&amp;C26&amp;"""}"),"")</f>
        <v>vmess://ICB7InBvcnQiOjQ0MywicHMiOiJHQ1AxX1ZNZXNzX1dTIiwidGxzIjoidGxzIiwiaWQiOiJkMDY2ODY5My1lNTFkLTQ0M2EtYjMzMy00MmRlNTQwMDk1NjEiLCJhaWQiOjAsInYiOjIsImhvc3QiOiJnY3AxLmVkdS50dyIsInR5cGUiOiJub25lIiwicGF0aCI6Ii9lZHV0d3Z3cyIsIm5ldCI6IndzIiwiYWRkIjoiY2Y0My5lcmF3LmV1Lm9yZyIsImFsbG93SW5zZWN1cmUiOjAsIm1ldGhvZCI6Im5vbmUiLCJwZWVyIjoiZ2NwMS5lZHUudHciLCJzbmkiOiJnY3AxLmVkdS50dyJ9</v>
      </c>
      <c r="N26" s="84" t="str">
        <f t="shared" si="7"/>
        <v>trojan://d0668693-e51d-443a-b333-42de54009561@gcp1.era.eu.org:443?peer=gcp1.edu.tw&amp;fp=chrome&amp;sni=gcp1.edu.tw&amp;alpn=http/1.1#GCP1_Trojan</v>
      </c>
      <c r="O26" s="84" t="str">
        <f t="shared" si="8"/>
        <v xml:space="preserve"> vless://d0668693-e51d-443a-b333-42de54009561@gcp1.era.eu.org:443?encryption=none&amp;security=tls&amp;fp=chrome&amp;type=tcp&amp;host=gcp1.edu.tw&amp;headerType=none&amp;sni=gcp1.edu.tw&amp;flow=xtls-rprx-vision#GCP1_VLESS_TLS</v>
      </c>
    </row>
    <row r="27" spans="1:15" x14ac:dyDescent="0.25">
      <c r="A27" s="45">
        <v>26</v>
      </c>
      <c r="B27" s="46" t="str" cm="1">
        <f t="array" ref="B27">IFERROR(_xlfn._xlws.FILTER(节点信息!$K$3:$K$27,节点信息!$L$3:$L$27=$B$31),"")</f>
        <v>d0668693-e51d-443a-b333-42de54009561</v>
      </c>
      <c r="C27" s="31" t="str">
        <f>IF(B27&lt;&gt;"",节点信息!J4,"")</f>
        <v>gcp2.edu.tw</v>
      </c>
      <c r="D27" s="47" t="str">
        <f>IF(B27&lt;&gt;"","edutw","")</f>
        <v>edutw</v>
      </c>
      <c r="E27" s="47" t="str">
        <f t="shared" si="0"/>
        <v>gcp2.era.eu.org</v>
      </c>
      <c r="F27" s="47" t="s">
        <v>553</v>
      </c>
      <c r="G27" s="139" t="str">
        <f t="shared" si="2"/>
        <v>GCP2_VMess_WS = vmess, cf44.eraw.eu.org, 443, username=d0668693-e51d-443a-b333-42de54009561, ws=true, tls=true, ws-path=/edutwvws, skip-cert-verify=false, udp-relay=false, vmess-aead=true, ws-headers=Host:gcp2.edu.tw, sni=gcp2.edu.tw</v>
      </c>
      <c r="H27" s="125" t="str">
        <f t="shared" si="3"/>
        <v>vless://d0668693-e51d-443a-b333-42de54009561@gcp2.era.eu.org:4567?encryption=none&amp;security=reality&amp;type=tcp&amp;sni=gcp2.edu.tw&amp;fp=chrome&amp;pbk=swgXIpGcJF34pYYwjPznkG4jZ6dH8oLaO2ImCbFTMVE&amp;sid=6ba85179e30d4fc2&amp;flow=xtls-rprx-vision#GCP2_Reality_TLS</v>
      </c>
      <c r="I27" s="125" t="str">
        <f t="shared" si="4"/>
        <v>vless://d0668693-e51d-443a-b333-42de54009561@gcp2.era.eu.org:4567?encryption=none&amp;security=reality&amp;type=grpc&amp;sni=gcp2.edu.tw&amp;fp=chrome&amp;pbk=swgXIpGcJF34pYYwjPznkG4jZ6dH8oLaO2ImCbFTMVE&amp;sid=6ba85179e30d4fc2&amp;path=grpc&amp;serviceName=grpc#GCP2_Reality_gRPC</v>
      </c>
      <c r="J27" s="84" t="str">
        <f t="shared" si="5"/>
        <v xml:space="preserve"> vless://d0668693-e51d-443a-b333-42de54009561@cf44.eraw.eu.org:443?encryption=none&amp;security=tls&amp;type=ws&amp;host=gcp2.edu.tw&amp;sni=gcp2.edu.tw&amp;fp=chrome&amp;path=/edutwws#GCP2_VLESS_WS</v>
      </c>
      <c r="K27" s="84" t="str">
        <f t="shared" si="6"/>
        <v>vless://d0668693-e51d-443a-b333-42de54009561@cf44.eraw.eu.org:443?encryption=none&amp;security=tls&amp;type=grpc&amp;host=gcp2.edu.tw&amp;path=edutwgrpc&amp;fp=chrome&amp;serviceName=edutwgrpc&amp;alpn=h2&amp;sni=gcp2.edu.tw#GCP2_VLESS_gRPC</v>
      </c>
      <c r="L27" s="84" t="str">
        <f t="shared" si="1"/>
        <v>trojan://d0668693-e51d-443a-b333-42de54009561@cf44.eraw.eu.org:443?encryption=none&amp;peer=gcp2.edu.tw&amp;fp=chrome&amp;security=tls&amp;type=grpc&amp;sni=gcp2.edu.tw&amp;alpn=h2&amp;path=edutwtrojangrpc&amp;serviceName=edutwtrojangrpc#GCP2_Trojan_gRPC</v>
      </c>
      <c r="M27" s="84" t="str" cm="1">
        <f t="array" ref="M27">IF(B27&lt;&gt;"","vmess://"&amp;EncodeBase64("  {""port"":443,""ps"""&amp;":"""&amp;UPPER(LEFT(C27,FIND(".",C27)-1))&amp;"_VMess_WS"",""tls"":""tls"",""id"":"""&amp;B27&amp;""",""aid"":0,""v"":2,""host"":"""&amp;C27&amp;""",""type"":""none"",""path"":""/"&amp;D27&amp;"vws"&amp;""",""net"":""ws"",""add"":"""&amp;F27&amp;""""&amp;","&amp;"""allowInsecure"":0,""method"":""none"",""peer"":"""&amp;C27&amp;""",""sni"":"""&amp;C27&amp;"""}"),"")</f>
        <v>vmess://ICB7InBvcnQiOjQ0MywicHMiOiJHQ1AyX1ZNZXNzX1dTIiwidGxzIjoidGxzIiwiaWQiOiJkMDY2ODY5My1lNTFkLTQ0M2EtYjMzMy00MmRlNTQwMDk1NjEiLCJhaWQiOjAsInYiOjIsImhvc3QiOiJnY3AyLmVkdS50dyIsInR5cGUiOiJub25lIiwicGF0aCI6Ii9lZHV0d3Z3cyIsIm5ldCI6IndzIiwiYWRkIjoiY2Y0NC5lcmF3LmV1Lm9yZyIsImFsbG93SW5zZWN1cmUiOjAsIm1ldGhvZCI6Im5vbmUiLCJwZWVyIjoiZ2NwMi5lZHUudHciLCJzbmkiOiJnY3AyLmVkdS50dyJ9</v>
      </c>
      <c r="N27" s="84" t="str">
        <f t="shared" si="7"/>
        <v>trojan://d0668693-e51d-443a-b333-42de54009561@gcp2.era.eu.org:443?peer=gcp2.edu.tw&amp;fp=chrome&amp;sni=gcp2.edu.tw&amp;alpn=http/1.1#GCP2_Trojan</v>
      </c>
      <c r="O27" s="84" t="str">
        <f t="shared" si="8"/>
        <v xml:space="preserve"> vless://d0668693-e51d-443a-b333-42de54009561@gcp2.era.eu.org:443?encryption=none&amp;security=tls&amp;fp=chrome&amp;type=tcp&amp;host=gcp2.edu.tw&amp;headerType=none&amp;sni=gcp2.edu.tw&amp;flow=xtls-rprx-vision#GCP2_VLESS_TLS</v>
      </c>
    </row>
    <row r="28" spans="1:15" ht="3" customHeight="1" x14ac:dyDescent="0.25">
      <c r="A28" s="48"/>
      <c r="B28" s="49"/>
      <c r="C28" s="50"/>
      <c r="D28" s="51"/>
      <c r="E28" s="51"/>
      <c r="F28" s="51"/>
      <c r="G28" s="140"/>
      <c r="H28" s="140"/>
      <c r="I28" s="140"/>
      <c r="J28" s="141"/>
      <c r="K28" s="141"/>
      <c r="L28" s="141"/>
      <c r="M28" s="142"/>
      <c r="N28" s="143"/>
      <c r="O28" s="143"/>
    </row>
    <row r="29" spans="1:15" x14ac:dyDescent="0.25">
      <c r="B29" s="53"/>
      <c r="G29" s="144"/>
      <c r="H29" s="144"/>
      <c r="I29" s="144"/>
      <c r="J29" s="145"/>
      <c r="K29" s="145"/>
      <c r="L29" s="145"/>
      <c r="M29" s="144"/>
      <c r="N29" s="144"/>
      <c r="O29" s="144"/>
    </row>
    <row r="30" spans="1:15" x14ac:dyDescent="0.25">
      <c r="B30" s="56" t="s">
        <v>99</v>
      </c>
      <c r="C30" s="146" t="s">
        <v>4</v>
      </c>
      <c r="D30" s="146"/>
      <c r="E30" s="146"/>
      <c r="F30" s="146"/>
      <c r="G30" s="146"/>
      <c r="H30" s="146"/>
      <c r="I30" s="146"/>
      <c r="J30" s="146"/>
      <c r="K30" s="146"/>
      <c r="L30" s="146"/>
    </row>
    <row r="31" spans="1:15" x14ac:dyDescent="0.25">
      <c r="B31" s="58" t="s">
        <v>450</v>
      </c>
      <c r="C31" s="146" t="s">
        <v>5</v>
      </c>
      <c r="D31" s="146"/>
      <c r="E31" s="146"/>
      <c r="F31" s="146"/>
      <c r="G31" s="146"/>
      <c r="H31" s="146"/>
      <c r="I31" s="146"/>
      <c r="J31" s="146"/>
      <c r="K31" s="146"/>
      <c r="L31" s="146"/>
      <c r="M31" s="59" t="s">
        <v>30</v>
      </c>
    </row>
    <row r="32" spans="1:15" ht="4.95" customHeight="1" x14ac:dyDescent="0.25">
      <c r="C32" s="57"/>
      <c r="G32" s="57"/>
      <c r="H32" s="57"/>
      <c r="I32" s="57"/>
      <c r="J32" s="60"/>
      <c r="K32" s="60"/>
      <c r="L32" s="60"/>
    </row>
    <row r="33" spans="3:13" x14ac:dyDescent="0.25">
      <c r="C33" s="147" t="s">
        <v>6</v>
      </c>
      <c r="D33" s="147"/>
      <c r="E33" s="147"/>
      <c r="F33" s="147"/>
      <c r="G33" s="147"/>
      <c r="H33" s="147"/>
      <c r="I33" s="147"/>
      <c r="J33" s="147"/>
      <c r="K33" s="147"/>
      <c r="L33" s="147"/>
      <c r="M33" s="59" t="s">
        <v>30</v>
      </c>
    </row>
    <row r="34" spans="3:13" ht="4.95" customHeight="1" x14ac:dyDescent="0.25"/>
    <row r="35" spans="3:13" x14ac:dyDescent="0.25">
      <c r="C35" s="61" t="s">
        <v>100</v>
      </c>
      <c r="D35" s="62"/>
      <c r="E35" s="62"/>
      <c r="F35" s="62"/>
      <c r="G35" s="61"/>
      <c r="H35" s="61"/>
      <c r="I35" s="61"/>
      <c r="M35" s="59" t="s">
        <v>30</v>
      </c>
    </row>
    <row r="36" spans="3:13" ht="4.95" customHeight="1" x14ac:dyDescent="0.25"/>
    <row r="37" spans="3:13" x14ac:dyDescent="0.25">
      <c r="C37" t="s">
        <v>17</v>
      </c>
    </row>
    <row r="38" spans="3:13" x14ac:dyDescent="0.25">
      <c r="C38" s="63" t="s">
        <v>18</v>
      </c>
      <c r="D38" s="64"/>
      <c r="E38" s="64"/>
      <c r="L38"/>
    </row>
    <row r="39" spans="3:13" ht="4.95" customHeight="1" x14ac:dyDescent="0.25">
      <c r="L39"/>
    </row>
    <row r="40" spans="3:13" x14ac:dyDescent="0.25">
      <c r="C40" s="65" t="s">
        <v>24</v>
      </c>
      <c r="L40"/>
    </row>
    <row r="41" spans="3:13" x14ac:dyDescent="0.25">
      <c r="C41" s="65" t="s">
        <v>25</v>
      </c>
      <c r="L41"/>
    </row>
    <row r="42" spans="3:13" x14ac:dyDescent="0.25">
      <c r="C42" s="65" t="s">
        <v>26</v>
      </c>
      <c r="L42"/>
    </row>
    <row r="43" spans="3:13" ht="4.95" customHeight="1" x14ac:dyDescent="0.25">
      <c r="L43"/>
    </row>
    <row r="44" spans="3:13" ht="4.95" customHeight="1" x14ac:dyDescent="0.25">
      <c r="L44"/>
    </row>
    <row r="45" spans="3:13" ht="15.6" x14ac:dyDescent="0.3">
      <c r="C45" s="66" t="s">
        <v>29</v>
      </c>
      <c r="L45"/>
    </row>
    <row r="46" spans="3:13" x14ac:dyDescent="0.25">
      <c r="L46"/>
    </row>
    <row r="47" spans="3:13" x14ac:dyDescent="0.25">
      <c r="L47"/>
    </row>
    <row r="48" spans="3:13" x14ac:dyDescent="0.25">
      <c r="L48"/>
    </row>
    <row r="49" spans="12:12" x14ac:dyDescent="0.25">
      <c r="L49"/>
    </row>
    <row r="50" spans="12:12" x14ac:dyDescent="0.25">
      <c r="L50"/>
    </row>
    <row r="51" spans="12:12" x14ac:dyDescent="0.25">
      <c r="L51"/>
    </row>
    <row r="52" spans="12:12" x14ac:dyDescent="0.25">
      <c r="L52"/>
    </row>
    <row r="53" spans="12:12" x14ac:dyDescent="0.25">
      <c r="L53"/>
    </row>
    <row r="54" spans="12:12" x14ac:dyDescent="0.25">
      <c r="L54"/>
    </row>
    <row r="55" spans="12:12" x14ac:dyDescent="0.25">
      <c r="L55"/>
    </row>
    <row r="56" spans="12:12" x14ac:dyDescent="0.25">
      <c r="L56"/>
    </row>
    <row r="57" spans="12:12" x14ac:dyDescent="0.25">
      <c r="L57"/>
    </row>
  </sheetData>
  <sheetProtection algorithmName="SHA-512" hashValue="iPM+fRwQFvP4ndik+gItxV4z6T3csZNGmCDaDDnV+fV3ZfnYY7dEWlNZSfCi9QLOkg1EuY7qYbnEuvRjgFjFIg==" saltValue="jjlhF6JKMi/87S7bED61xg==" spinCount="100000" sheet="1" objects="1" scenarios="1"/>
  <protectedRanges>
    <protectedRange sqref="B31" name="区域1"/>
    <protectedRange sqref="B2:F27" name="区域2"/>
  </protectedRanges>
  <mergeCells count="3">
    <mergeCell ref="C30:L30"/>
    <mergeCell ref="C31:L31"/>
    <mergeCell ref="C33:L33"/>
  </mergeCells>
  <phoneticPr fontId="7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12780-9617-4C29-BC93-4D42BD278484}">
  <sheetPr codeName="Sheet9">
    <tabColor theme="5"/>
  </sheetPr>
  <dimension ref="A1:C31"/>
  <sheetViews>
    <sheetView workbookViewId="0">
      <pane ySplit="1" topLeftCell="A2" activePane="bottomLeft" state="frozen"/>
      <selection pane="bottomLeft" activeCell="C42" sqref="C42"/>
    </sheetView>
  </sheetViews>
  <sheetFormatPr defaultRowHeight="13.8" x14ac:dyDescent="0.25"/>
  <cols>
    <col min="1" max="1" width="3.5546875" style="8" bestFit="1" customWidth="1"/>
    <col min="2" max="2" width="41" style="2" bestFit="1" customWidth="1"/>
    <col min="3" max="3" width="44.6640625" style="2" customWidth="1"/>
    <col min="4" max="16384" width="8.88671875" style="2"/>
  </cols>
  <sheetData>
    <row r="1" spans="1:3" s="8" customFormat="1" x14ac:dyDescent="0.25">
      <c r="A1" s="18" t="s">
        <v>49</v>
      </c>
      <c r="B1" s="18" t="s">
        <v>73</v>
      </c>
      <c r="C1" s="18" t="s">
        <v>51</v>
      </c>
    </row>
    <row r="2" spans="1:3" x14ac:dyDescent="0.25">
      <c r="A2" s="14">
        <v>1</v>
      </c>
      <c r="B2" s="1" t="str">
        <f ca="1">LOWER(CONCATENATE(DEC2HEX(RANDBETWEEN(0,POWER(16,8)),8),"-",DEC2HEX(RANDBETWEEN(0,POWER(16,4)),4),"-","4",DEC2HEX(RANDBETWEEN(0,POWER(16,3)),3),"-",DEC2HEX(RANDBETWEEN(8,11)),DEC2HEX(RANDBETWEEN(0,POWER(16,3)),3),"-",DEC2HEX(RANDBETWEEN(0,POWER(16,8)),8),DEC2HEX(RANDBETWEEN(0,POWER(16,4)),4)))</f>
        <v>8d24bf96-c378-4864-8c33-2ffa27664c3f</v>
      </c>
      <c r="C2" s="1" t="s">
        <v>52</v>
      </c>
    </row>
    <row r="3" spans="1:3" x14ac:dyDescent="0.25">
      <c r="A3" s="14">
        <v>2</v>
      </c>
      <c r="B3" s="1" t="str">
        <f t="shared" ref="B3:B31" ca="1" si="0">LOWER(CONCATENATE(DEC2HEX(RANDBETWEEN(0,POWER(16,8)),8),"-",DEC2HEX(RANDBETWEEN(0,POWER(16,4)),4),"-","4",DEC2HEX(RANDBETWEEN(0,POWER(16,3)),3),"-",DEC2HEX(RANDBETWEEN(8,11)),DEC2HEX(RANDBETWEEN(0,POWER(16,3)),3),"-",DEC2HEX(RANDBETWEEN(0,POWER(16,8)),8),DEC2HEX(RANDBETWEEN(0,POWER(16,4)),4)))</f>
        <v>038f604c-2102-4fbd-b3b4-ba62c98f6893</v>
      </c>
      <c r="C3" s="1" t="s">
        <v>53</v>
      </c>
    </row>
    <row r="4" spans="1:3" x14ac:dyDescent="0.25">
      <c r="A4" s="14">
        <v>3</v>
      </c>
      <c r="B4" s="1" t="str">
        <f t="shared" ca="1" si="0"/>
        <v>f53e8c52-908b-44bf-844b-5d744f510858</v>
      </c>
      <c r="C4" s="1" t="s">
        <v>54</v>
      </c>
    </row>
    <row r="5" spans="1:3" x14ac:dyDescent="0.25">
      <c r="A5" s="14">
        <v>4</v>
      </c>
      <c r="B5" s="1" t="str">
        <f t="shared" ca="1" si="0"/>
        <v>4574ed46-f539-4725-ad9c-bc8ff21b244e</v>
      </c>
      <c r="C5" s="1" t="s">
        <v>55</v>
      </c>
    </row>
    <row r="6" spans="1:3" x14ac:dyDescent="0.25">
      <c r="A6" s="14">
        <v>5</v>
      </c>
      <c r="B6" s="1" t="str">
        <f t="shared" ca="1" si="0"/>
        <v>5ed4ae23-7791-48bc-a7f1-fb650aad8e04</v>
      </c>
      <c r="C6" s="1" t="s">
        <v>56</v>
      </c>
    </row>
    <row r="7" spans="1:3" x14ac:dyDescent="0.25">
      <c r="A7" s="14">
        <v>6</v>
      </c>
      <c r="B7" s="1" t="str">
        <f t="shared" ca="1" si="0"/>
        <v>4ee5802b-9c42-4ca6-a4f6-d37dd3f3c7f3</v>
      </c>
      <c r="C7" s="1" t="s">
        <v>57</v>
      </c>
    </row>
    <row r="8" spans="1:3" x14ac:dyDescent="0.25">
      <c r="A8" s="14">
        <v>7</v>
      </c>
      <c r="B8" s="1" t="str">
        <f t="shared" ca="1" si="0"/>
        <v>9fbdb16f-6cfe-485f-8c90-14d5684facff</v>
      </c>
      <c r="C8" s="1" t="s">
        <v>58</v>
      </c>
    </row>
    <row r="9" spans="1:3" x14ac:dyDescent="0.25">
      <c r="A9" s="14">
        <v>8</v>
      </c>
      <c r="B9" s="1" t="str">
        <f t="shared" ca="1" si="0"/>
        <v>cbf367f8-d154-40e7-8194-3df69aa41511</v>
      </c>
      <c r="C9" s="1" t="s">
        <v>59</v>
      </c>
    </row>
    <row r="10" spans="1:3" x14ac:dyDescent="0.25">
      <c r="A10" s="14">
        <v>9</v>
      </c>
      <c r="B10" s="1" t="str">
        <f t="shared" ca="1" si="0"/>
        <v>1aa69991-caff-410f-a93a-a0b2564b2844</v>
      </c>
      <c r="C10" s="1" t="s">
        <v>355</v>
      </c>
    </row>
    <row r="11" spans="1:3" x14ac:dyDescent="0.25">
      <c r="A11" s="14">
        <v>10</v>
      </c>
      <c r="B11" s="1" t="str">
        <f t="shared" ca="1" si="0"/>
        <v>36032da0-365e-4d5c-8904-8abe0cfeaf10</v>
      </c>
      <c r="C11" s="1" t="s">
        <v>60</v>
      </c>
    </row>
    <row r="12" spans="1:3" x14ac:dyDescent="0.25">
      <c r="A12" s="14">
        <v>11</v>
      </c>
      <c r="B12" s="1" t="str">
        <f t="shared" ca="1" si="0"/>
        <v>7fb9e0b4-1d2e-4c54-b0c8-46e86f1810c9</v>
      </c>
      <c r="C12" s="1" t="s">
        <v>61</v>
      </c>
    </row>
    <row r="13" spans="1:3" x14ac:dyDescent="0.25">
      <c r="A13" s="14">
        <v>12</v>
      </c>
      <c r="B13" s="1" t="str">
        <f t="shared" ca="1" si="0"/>
        <v>ae4a7697-c308-4d66-bdbb-483bd6ed4cb4</v>
      </c>
      <c r="C13" s="1" t="s">
        <v>62</v>
      </c>
    </row>
    <row r="14" spans="1:3" x14ac:dyDescent="0.25">
      <c r="A14" s="14">
        <v>13</v>
      </c>
      <c r="B14" s="1" t="str">
        <f t="shared" ca="1" si="0"/>
        <v>c110611f-e576-4ac6-8087-3fbdea6d86c2</v>
      </c>
      <c r="C14" s="1" t="s">
        <v>295</v>
      </c>
    </row>
    <row r="15" spans="1:3" x14ac:dyDescent="0.25">
      <c r="A15" s="14">
        <v>14</v>
      </c>
      <c r="B15" s="1" t="str">
        <f ca="1">LOWER(CONCATENATE(DEC2HEX(RANDBETWEEN(0,POWER(16,8)),8),"-",DEC2HEX(RANDBETWEEN(0,POWER(16,4)),4),"-","4",DEC2HEX(RANDBETWEEN(0,POWER(16,3)),3),"-",DEC2HEX(RANDBETWEEN(8,11)),DEC2HEX(RANDBETWEEN(0,POWER(16,3)),3),"-",DEC2HEX(RANDBETWEEN(0,POWER(16,8)),8),DEC2HEX(RANDBETWEEN(0,POWER(16,4)),4)))</f>
        <v>cd097d60-73a9-489f-9984-16ca9ddddd94</v>
      </c>
      <c r="C15" s="1" t="s">
        <v>63</v>
      </c>
    </row>
    <row r="16" spans="1:3" x14ac:dyDescent="0.25">
      <c r="A16" s="14">
        <v>15</v>
      </c>
      <c r="B16" s="1" t="str">
        <f t="shared" ca="1" si="0"/>
        <v>06b82032-9008-4d28-aeb6-5d3184de3edf</v>
      </c>
      <c r="C16" s="1" t="s">
        <v>64</v>
      </c>
    </row>
    <row r="17" spans="1:3" x14ac:dyDescent="0.25">
      <c r="A17" s="14">
        <v>16</v>
      </c>
      <c r="B17" s="1" t="str">
        <f t="shared" ca="1" si="0"/>
        <v>90075de5-8761-456a-9f3c-f02a78f2216d</v>
      </c>
      <c r="C17" s="1" t="s">
        <v>146</v>
      </c>
    </row>
    <row r="18" spans="1:3" x14ac:dyDescent="0.25">
      <c r="A18" s="14">
        <v>17</v>
      </c>
      <c r="B18" s="1" t="str">
        <f t="shared" ca="1" si="0"/>
        <v>d3017a8a-c024-4121-ad22-becd1cc0a319</v>
      </c>
      <c r="C18" s="1" t="s">
        <v>65</v>
      </c>
    </row>
    <row r="19" spans="1:3" x14ac:dyDescent="0.25">
      <c r="A19" s="14">
        <v>18</v>
      </c>
      <c r="B19" s="1" t="str">
        <f t="shared" ca="1" si="0"/>
        <v>12359750-094e-479f-8844-de2425eb8512</v>
      </c>
      <c r="C19" s="1" t="s">
        <v>244</v>
      </c>
    </row>
    <row r="20" spans="1:3" x14ac:dyDescent="0.25">
      <c r="A20" s="14">
        <v>19</v>
      </c>
      <c r="B20" s="1" t="str">
        <f t="shared" ca="1" si="0"/>
        <v>7cfb5bfb-53c1-4a1f-99e7-9a14416276d8</v>
      </c>
      <c r="C20" s="1" t="s">
        <v>66</v>
      </c>
    </row>
    <row r="21" spans="1:3" x14ac:dyDescent="0.25">
      <c r="A21" s="14">
        <v>20</v>
      </c>
      <c r="B21" s="1" t="str">
        <f t="shared" ca="1" si="0"/>
        <v>6247e941-1b78-4c01-85e3-680d2f1ce973</v>
      </c>
      <c r="C21" s="1" t="s">
        <v>325</v>
      </c>
    </row>
    <row r="22" spans="1:3" x14ac:dyDescent="0.25">
      <c r="A22" s="14">
        <v>21</v>
      </c>
      <c r="B22" s="1" t="str">
        <f t="shared" ca="1" si="0"/>
        <v>5678e19b-e0fe-4981-89f1-0dd0bfca5f54</v>
      </c>
      <c r="C22" s="1" t="s">
        <v>67</v>
      </c>
    </row>
    <row r="23" spans="1:3" x14ac:dyDescent="0.25">
      <c r="A23" s="14">
        <v>22</v>
      </c>
      <c r="B23" s="1" t="str">
        <f t="shared" ca="1" si="0"/>
        <v>eeea6cd2-41d6-4d77-87f8-b6f9fe764f45</v>
      </c>
      <c r="C23" s="1" t="s">
        <v>157</v>
      </c>
    </row>
    <row r="24" spans="1:3" x14ac:dyDescent="0.25">
      <c r="A24" s="14">
        <v>23</v>
      </c>
      <c r="B24" s="1" t="str">
        <f t="shared" ca="1" si="0"/>
        <v>c4c4c9fd-8e76-4104-8647-26887a507278</v>
      </c>
      <c r="C24" s="1" t="s">
        <v>68</v>
      </c>
    </row>
    <row r="25" spans="1:3" x14ac:dyDescent="0.25">
      <c r="A25" s="14">
        <v>24</v>
      </c>
      <c r="B25" s="1" t="str">
        <f t="shared" ca="1" si="0"/>
        <v>f5fe0a2f-ecf6-49b7-8bf8-157afc61c86c</v>
      </c>
      <c r="C25" s="1" t="s">
        <v>69</v>
      </c>
    </row>
    <row r="26" spans="1:3" x14ac:dyDescent="0.25">
      <c r="A26" s="14">
        <v>25</v>
      </c>
      <c r="B26" s="1" t="str">
        <f t="shared" ca="1" si="0"/>
        <v>9beb3617-0e2f-4b4d-9195-edffdb4bb673</v>
      </c>
      <c r="C26" s="1" t="s">
        <v>70</v>
      </c>
    </row>
    <row r="27" spans="1:3" x14ac:dyDescent="0.25">
      <c r="A27" s="14">
        <v>26</v>
      </c>
      <c r="B27" s="1" t="str">
        <f ca="1">LOWER(CONCATENATE(DEC2HEX(RANDBETWEEN(0,POWER(16,8)),8),"-",DEC2HEX(RANDBETWEEN(0,POWER(16,4)),4),"-","4",DEC2HEX(RANDBETWEEN(0,POWER(16,3)),3),"-",DEC2HEX(RANDBETWEEN(8,11)),DEC2HEX(RANDBETWEEN(0,POWER(16,3)),3),"-",DEC2HEX(RANDBETWEEN(0,POWER(16,8)),8),DEC2HEX(RANDBETWEEN(0,POWER(16,4)),4)))</f>
        <v>5606ca8f-ba61-4722-bb17-97b8e6776f79</v>
      </c>
      <c r="C27" s="1" t="s">
        <v>429</v>
      </c>
    </row>
    <row r="28" spans="1:3" x14ac:dyDescent="0.25">
      <c r="A28" s="14">
        <v>27</v>
      </c>
      <c r="B28" s="1" t="str">
        <f t="shared" ca="1" si="0"/>
        <v>0d3636e3-c5f2-41b3-bdff-cd6362d9a819</v>
      </c>
      <c r="C28" s="1" t="s">
        <v>71</v>
      </c>
    </row>
    <row r="29" spans="1:3" x14ac:dyDescent="0.25">
      <c r="A29" s="14">
        <v>28</v>
      </c>
      <c r="B29" s="1" t="str">
        <f t="shared" ca="1" si="0"/>
        <v>d44b71db-e26c-4c6d-a2ca-bd3289756ef6</v>
      </c>
      <c r="C29" s="1" t="s">
        <v>414</v>
      </c>
    </row>
    <row r="30" spans="1:3" x14ac:dyDescent="0.25">
      <c r="A30" s="14">
        <v>29</v>
      </c>
      <c r="B30" s="1" t="str">
        <f ca="1">LOWER(CONCATENATE(DEC2HEX(RANDBETWEEN(0,POWER(16,8)),8),"-",DEC2HEX(RANDBETWEEN(0,POWER(16,4)),4),"-","4",DEC2HEX(RANDBETWEEN(0,POWER(16,3)),3),"-",DEC2HEX(RANDBETWEEN(8,11)),DEC2HEX(RANDBETWEEN(0,POWER(16,3)),3),"-",DEC2HEX(RANDBETWEEN(0,POWER(16,8)),8),DEC2HEX(RANDBETWEEN(0,POWER(16,4)),4)))</f>
        <v>ee584dbb-5aed-4355-a8d8-2a26da633df5</v>
      </c>
      <c r="C30" s="1" t="s">
        <v>200</v>
      </c>
    </row>
    <row r="31" spans="1:3" x14ac:dyDescent="0.25">
      <c r="A31" s="14">
        <v>30</v>
      </c>
      <c r="B31" s="1" t="str">
        <f t="shared" ca="1" si="0"/>
        <v>e500ef8e-ffb1-44b1-a128-e31954014bec</v>
      </c>
      <c r="C31" s="1" t="s">
        <v>243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303A1-5D58-4C7D-98B5-683B53835E4E}">
  <sheetPr codeName="Sheet10">
    <tabColor theme="5"/>
  </sheetPr>
  <dimension ref="A1:M30"/>
  <sheetViews>
    <sheetView workbookViewId="0">
      <pane ySplit="1" topLeftCell="A2" activePane="bottomLeft" state="frozen"/>
      <selection pane="bottomLeft" activeCell="K53" sqref="K53"/>
    </sheetView>
  </sheetViews>
  <sheetFormatPr defaultRowHeight="13.8" x14ac:dyDescent="0.25"/>
  <cols>
    <col min="1" max="1" width="13.5546875" bestFit="1" customWidth="1"/>
    <col min="2" max="2" width="2.5546875" bestFit="1" customWidth="1"/>
    <col min="3" max="3" width="3.44140625" bestFit="1" customWidth="1"/>
    <col min="4" max="4" width="2.77734375" bestFit="1" customWidth="1"/>
    <col min="5" max="5" width="14.21875" bestFit="1" customWidth="1"/>
    <col min="7" max="7" width="16.88671875" bestFit="1" customWidth="1"/>
    <col min="8" max="8" width="2.5546875" bestFit="1" customWidth="1"/>
    <col min="9" max="9" width="3.44140625" bestFit="1" customWidth="1"/>
    <col min="10" max="10" width="2.77734375" bestFit="1" customWidth="1"/>
    <col min="11" max="11" width="14.21875" bestFit="1" customWidth="1"/>
  </cols>
  <sheetData>
    <row r="1" spans="1:13" s="22" customFormat="1" ht="15.6" x14ac:dyDescent="0.3">
      <c r="A1" s="148" t="s">
        <v>40</v>
      </c>
      <c r="B1" s="148"/>
      <c r="C1" s="148"/>
      <c r="D1" s="148"/>
      <c r="E1" s="148"/>
      <c r="F1" s="21"/>
      <c r="G1" s="149" t="s">
        <v>41</v>
      </c>
      <c r="H1" s="149"/>
      <c r="I1" s="149"/>
      <c r="J1" s="149"/>
      <c r="K1" s="149"/>
      <c r="L1" s="21"/>
      <c r="M1" s="21"/>
    </row>
    <row r="2" spans="1:13" x14ac:dyDescent="0.25">
      <c r="A2" s="16" t="str">
        <f>IF(建机专用!C2&lt;&gt;"",建机专用!C2&amp;".","")</f>
        <v>vp1.yourdomain.com.</v>
      </c>
      <c r="B2" s="16">
        <f>IF(建机专用!C2&lt;&gt;"",1,"")</f>
        <v>1</v>
      </c>
      <c r="C2" s="16" t="str">
        <f>IF(建机专用!C2&lt;&gt;"","IN","")</f>
        <v>IN</v>
      </c>
      <c r="D2" s="16" t="str">
        <f>IF(建机专用!C2&lt;&gt;"","A","")</f>
        <v>A</v>
      </c>
      <c r="E2" s="16" t="s">
        <v>39</v>
      </c>
      <c r="G2" s="16" t="str">
        <f>IF(建机专用!F2&lt;&gt;"",建机专用!F2&amp;".","")</f>
        <v>vp1.dadfe.edu.cn.</v>
      </c>
      <c r="H2" s="16">
        <f>IF(建机专用!C2&lt;&gt;"",1,"")</f>
        <v>1</v>
      </c>
      <c r="I2" s="16" t="str">
        <f>IF(建机专用!C2&lt;&gt;"","IN","")</f>
        <v>IN</v>
      </c>
      <c r="J2" s="16" t="str">
        <f>IF(建机专用!C2&lt;&gt;"","A","")</f>
        <v>A</v>
      </c>
      <c r="K2" s="16" t="str">
        <f>IF(E2&lt;&gt;"",E2,"")</f>
        <v>140.114.69.135</v>
      </c>
    </row>
    <row r="3" spans="1:13" x14ac:dyDescent="0.25">
      <c r="A3" s="16" t="str">
        <f>IF(建机专用!C3&lt;&gt;"",建机专用!C3&amp;".","")</f>
        <v>vp2.yourdomain.com.</v>
      </c>
      <c r="B3" s="16">
        <f>IF(建机专用!C3&lt;&gt;"",1,"")</f>
        <v>1</v>
      </c>
      <c r="C3" s="16" t="str">
        <f>IF(建机专用!C3&lt;&gt;"","IN","")</f>
        <v>IN</v>
      </c>
      <c r="D3" s="16" t="str">
        <f>IF(建机专用!C3&lt;&gt;"","A","")</f>
        <v>A</v>
      </c>
      <c r="E3" s="16"/>
      <c r="G3" s="16" t="str">
        <f>IF(建机专用!F3&lt;&gt;"",建机专用!F3&amp;".","")</f>
        <v>vp2.dadfe.edu.cn.</v>
      </c>
      <c r="H3" s="16">
        <f>IF(建机专用!C3&lt;&gt;"",1,"")</f>
        <v>1</v>
      </c>
      <c r="I3" s="16" t="str">
        <f>IF(建机专用!C3&lt;&gt;"","IN","")</f>
        <v>IN</v>
      </c>
      <c r="J3" s="16" t="str">
        <f>IF(建机专用!C3&lt;&gt;"","A","")</f>
        <v>A</v>
      </c>
      <c r="K3" s="16" t="str">
        <f t="shared" ref="K3:K21" si="0">IF(E3&lt;&gt;"",E3,"")</f>
        <v/>
      </c>
    </row>
    <row r="4" spans="1:13" x14ac:dyDescent="0.25">
      <c r="A4" s="16" t="str">
        <f>IF(建机专用!C4&lt;&gt;"",建机专用!C4&amp;".","")</f>
        <v>vp3.yourdomain.com.</v>
      </c>
      <c r="B4" s="16">
        <f>IF(建机专用!C4&lt;&gt;"",1,"")</f>
        <v>1</v>
      </c>
      <c r="C4" s="16" t="str">
        <f>IF(建机专用!C4&lt;&gt;"","IN","")</f>
        <v>IN</v>
      </c>
      <c r="D4" s="16" t="str">
        <f>IF(建机专用!C4&lt;&gt;"","A","")</f>
        <v>A</v>
      </c>
      <c r="E4" s="16"/>
      <c r="G4" s="16" t="str">
        <f>IF(建机专用!F4&lt;&gt;"",建机专用!F4&amp;".","")</f>
        <v>vp3.dadfe.edu.cn.</v>
      </c>
      <c r="H4" s="16">
        <f>IF(建机专用!C4&lt;&gt;"",1,"")</f>
        <v>1</v>
      </c>
      <c r="I4" s="16" t="str">
        <f>IF(建机专用!C4&lt;&gt;"","IN","")</f>
        <v>IN</v>
      </c>
      <c r="J4" s="16" t="str">
        <f>IF(建机专用!C4&lt;&gt;"","A","")</f>
        <v>A</v>
      </c>
      <c r="K4" s="16" t="str">
        <f t="shared" si="0"/>
        <v/>
      </c>
    </row>
    <row r="5" spans="1:13" x14ac:dyDescent="0.25">
      <c r="A5" s="16" t="str">
        <f>IF(建机专用!C5&lt;&gt;"",建机专用!C5&amp;".","")</f>
        <v>vp4.yourdomain.com.</v>
      </c>
      <c r="B5" s="16">
        <f>IF(建机专用!C5&lt;&gt;"",1,"")</f>
        <v>1</v>
      </c>
      <c r="C5" s="16" t="str">
        <f>IF(建机专用!C5&lt;&gt;"","IN","")</f>
        <v>IN</v>
      </c>
      <c r="D5" s="16" t="str">
        <f>IF(建机专用!C5&lt;&gt;"","A","")</f>
        <v>A</v>
      </c>
      <c r="E5" s="16"/>
      <c r="G5" s="16" t="str">
        <f>IF(建机专用!F5&lt;&gt;"",建机专用!F5&amp;".","")</f>
        <v>vp4.dadfe.edu.cn.</v>
      </c>
      <c r="H5" s="16">
        <f>IF(建机专用!C5&lt;&gt;"",1,"")</f>
        <v>1</v>
      </c>
      <c r="I5" s="16" t="str">
        <f>IF(建机专用!C5&lt;&gt;"","IN","")</f>
        <v>IN</v>
      </c>
      <c r="J5" s="16" t="str">
        <f>IF(建机专用!C5&lt;&gt;"","A","")</f>
        <v>A</v>
      </c>
      <c r="K5" s="16" t="str">
        <f t="shared" si="0"/>
        <v/>
      </c>
    </row>
    <row r="6" spans="1:13" x14ac:dyDescent="0.25">
      <c r="A6" s="16" t="str">
        <f>IF(建机专用!C6&lt;&gt;"",建机专用!C6&amp;".","")</f>
        <v>vp5.yourdomain.com.</v>
      </c>
      <c r="B6" s="16">
        <f>IF(建机专用!C6&lt;&gt;"",1,"")</f>
        <v>1</v>
      </c>
      <c r="C6" s="16" t="str">
        <f>IF(建机专用!C6&lt;&gt;"","IN","")</f>
        <v>IN</v>
      </c>
      <c r="D6" s="16" t="str">
        <f>IF(建机专用!C6&lt;&gt;"","A","")</f>
        <v>A</v>
      </c>
      <c r="E6" s="16"/>
      <c r="G6" s="16" t="str">
        <f>IF(建机专用!F6&lt;&gt;"",建机专用!F6&amp;".","")</f>
        <v>vp5.dadfe.edu.cn.</v>
      </c>
      <c r="H6" s="16">
        <f>IF(建机专用!C6&lt;&gt;"",1,"")</f>
        <v>1</v>
      </c>
      <c r="I6" s="16" t="str">
        <f>IF(建机专用!C6&lt;&gt;"","IN","")</f>
        <v>IN</v>
      </c>
      <c r="J6" s="16" t="str">
        <f>IF(建机专用!C6&lt;&gt;"","A","")</f>
        <v>A</v>
      </c>
      <c r="K6" s="16" t="str">
        <f t="shared" si="0"/>
        <v/>
      </c>
    </row>
    <row r="7" spans="1:13" x14ac:dyDescent="0.25">
      <c r="A7" s="16" t="str">
        <f>IF(建机专用!C7&lt;&gt;"",建机专用!C7&amp;".","")</f>
        <v>vp6.yourdomain.com.</v>
      </c>
      <c r="B7" s="16">
        <f>IF(建机专用!C7&lt;&gt;"",1,"")</f>
        <v>1</v>
      </c>
      <c r="C7" s="16" t="str">
        <f>IF(建机专用!C7&lt;&gt;"","IN","")</f>
        <v>IN</v>
      </c>
      <c r="D7" s="16" t="str">
        <f>IF(建机专用!C7&lt;&gt;"","A","")</f>
        <v>A</v>
      </c>
      <c r="E7" s="16"/>
      <c r="G7" s="16" t="str">
        <f>IF(建机专用!F7&lt;&gt;"",建机专用!F7&amp;".","")</f>
        <v>vp6.dadfe.edu.cn.</v>
      </c>
      <c r="H7" s="16">
        <f>IF(建机专用!C7&lt;&gt;"",1,"")</f>
        <v>1</v>
      </c>
      <c r="I7" s="16" t="str">
        <f>IF(建机专用!C7&lt;&gt;"","IN","")</f>
        <v>IN</v>
      </c>
      <c r="J7" s="16" t="str">
        <f>IF(建机专用!C7&lt;&gt;"","A","")</f>
        <v>A</v>
      </c>
      <c r="K7" s="16" t="str">
        <f t="shared" si="0"/>
        <v/>
      </c>
    </row>
    <row r="8" spans="1:13" x14ac:dyDescent="0.25">
      <c r="A8" s="16" t="str">
        <f>IF(建机专用!C8&lt;&gt;"",建机专用!C8&amp;".","")</f>
        <v>vp7.yourdomain.com.</v>
      </c>
      <c r="B8" s="16">
        <f>IF(建机专用!C8&lt;&gt;"",1,"")</f>
        <v>1</v>
      </c>
      <c r="C8" s="16" t="str">
        <f>IF(建机专用!C8&lt;&gt;"","IN","")</f>
        <v>IN</v>
      </c>
      <c r="D8" s="16" t="str">
        <f>IF(建机专用!C8&lt;&gt;"","A","")</f>
        <v>A</v>
      </c>
      <c r="E8" s="16"/>
      <c r="G8" s="16" t="str">
        <f>IF(建机专用!F8&lt;&gt;"",建机专用!F8&amp;".","")</f>
        <v>vp7.dadfe.edu.cn.</v>
      </c>
      <c r="H8" s="16">
        <f>IF(建机专用!C8&lt;&gt;"",1,"")</f>
        <v>1</v>
      </c>
      <c r="I8" s="16" t="str">
        <f>IF(建机专用!C8&lt;&gt;"","IN","")</f>
        <v>IN</v>
      </c>
      <c r="J8" s="16" t="str">
        <f>IF(建机专用!C8&lt;&gt;"","A","")</f>
        <v>A</v>
      </c>
      <c r="K8" s="16" t="str">
        <f t="shared" si="0"/>
        <v/>
      </c>
    </row>
    <row r="9" spans="1:13" x14ac:dyDescent="0.25">
      <c r="A9" s="16" t="str">
        <f>IF(建机专用!C9&lt;&gt;"",建机专用!C9&amp;".","")</f>
        <v>vp8.yourdomain.com.</v>
      </c>
      <c r="B9" s="16">
        <f>IF(建机专用!C9&lt;&gt;"",1,"")</f>
        <v>1</v>
      </c>
      <c r="C9" s="16" t="str">
        <f>IF(建机专用!C9&lt;&gt;"","IN","")</f>
        <v>IN</v>
      </c>
      <c r="D9" s="16" t="str">
        <f>IF(建机专用!C9&lt;&gt;"","A","")</f>
        <v>A</v>
      </c>
      <c r="E9" s="16"/>
      <c r="G9" s="16" t="str">
        <f>IF(建机专用!F9&lt;&gt;"",建机专用!F9&amp;".","")</f>
        <v>vp8.dadfe.edu.cn.</v>
      </c>
      <c r="H9" s="16">
        <f>IF(建机专用!C9&lt;&gt;"",1,"")</f>
        <v>1</v>
      </c>
      <c r="I9" s="16" t="str">
        <f>IF(建机专用!C9&lt;&gt;"","IN","")</f>
        <v>IN</v>
      </c>
      <c r="J9" s="16" t="str">
        <f>IF(建机专用!C9&lt;&gt;"","A","")</f>
        <v>A</v>
      </c>
      <c r="K9" s="16" t="str">
        <f t="shared" si="0"/>
        <v/>
      </c>
    </row>
    <row r="10" spans="1:13" x14ac:dyDescent="0.25">
      <c r="A10" s="16" t="str">
        <f>IF(建机专用!C10&lt;&gt;"",建机专用!C10&amp;".","")</f>
        <v>vp9.yourdomain.com.</v>
      </c>
      <c r="B10" s="16">
        <f>IF(建机专用!C10&lt;&gt;"",1,"")</f>
        <v>1</v>
      </c>
      <c r="C10" s="16" t="str">
        <f>IF(建机专用!C10&lt;&gt;"","IN","")</f>
        <v>IN</v>
      </c>
      <c r="D10" s="16" t="str">
        <f>IF(建机专用!C10&lt;&gt;"","A","")</f>
        <v>A</v>
      </c>
      <c r="E10" s="16"/>
      <c r="G10" s="16" t="str">
        <f>IF(建机专用!F10&lt;&gt;"",建机专用!F10&amp;".","")</f>
        <v>vp9.dadfe.edu.cn.</v>
      </c>
      <c r="H10" s="16">
        <f>IF(建机专用!C10&lt;&gt;"",1,"")</f>
        <v>1</v>
      </c>
      <c r="I10" s="16" t="str">
        <f>IF(建机专用!C10&lt;&gt;"","IN","")</f>
        <v>IN</v>
      </c>
      <c r="J10" s="16" t="str">
        <f>IF(建机专用!C10&lt;&gt;"","A","")</f>
        <v>A</v>
      </c>
      <c r="K10" s="16" t="str">
        <f t="shared" si="0"/>
        <v/>
      </c>
    </row>
    <row r="11" spans="1:13" x14ac:dyDescent="0.25">
      <c r="A11" s="16" t="str">
        <f>IF(建机专用!C11&lt;&gt;"",建机专用!C11&amp;".","")</f>
        <v>vp10.yourdomain.com.</v>
      </c>
      <c r="B11" s="16">
        <f>IF(建机专用!C11&lt;&gt;"",1,"")</f>
        <v>1</v>
      </c>
      <c r="C11" s="16" t="str">
        <f>IF(建机专用!C11&lt;&gt;"","IN","")</f>
        <v>IN</v>
      </c>
      <c r="D11" s="16" t="str">
        <f>IF(建机专用!C11&lt;&gt;"","A","")</f>
        <v>A</v>
      </c>
      <c r="E11" s="16"/>
      <c r="G11" s="16" t="str">
        <f>IF(建机专用!F11&lt;&gt;"",建机专用!F11&amp;".","")</f>
        <v>vp10.dadfe.edu.cn.</v>
      </c>
      <c r="H11" s="16">
        <f>IF(建机专用!C11&lt;&gt;"",1,"")</f>
        <v>1</v>
      </c>
      <c r="I11" s="16" t="str">
        <f>IF(建机专用!C11&lt;&gt;"","IN","")</f>
        <v>IN</v>
      </c>
      <c r="J11" s="16" t="str">
        <f>IF(建机专用!C11&lt;&gt;"","A","")</f>
        <v>A</v>
      </c>
      <c r="K11" s="16" t="str">
        <f t="shared" si="0"/>
        <v/>
      </c>
    </row>
    <row r="12" spans="1:13" x14ac:dyDescent="0.25">
      <c r="A12" s="16" t="str">
        <f>IF(建机专用!C12&lt;&gt;"",建机专用!C12&amp;".","")</f>
        <v>vp11.yourdomain.com.</v>
      </c>
      <c r="B12" s="16">
        <f>IF(建机专用!C12&lt;&gt;"",1,"")</f>
        <v>1</v>
      </c>
      <c r="C12" s="16" t="str">
        <f>IF(建机专用!C12&lt;&gt;"","IN","")</f>
        <v>IN</v>
      </c>
      <c r="D12" s="16" t="str">
        <f>IF(建机专用!C12&lt;&gt;"","A","")</f>
        <v>A</v>
      </c>
      <c r="E12" s="16"/>
      <c r="G12" s="16" t="str">
        <f>IF(建机专用!F12&lt;&gt;"",建机专用!F12&amp;".","")</f>
        <v>vp11.dadfe.edu.cn.</v>
      </c>
      <c r="H12" s="16">
        <f>IF(建机专用!C12&lt;&gt;"",1,"")</f>
        <v>1</v>
      </c>
      <c r="I12" s="16" t="str">
        <f>IF(建机专用!C12&lt;&gt;"","IN","")</f>
        <v>IN</v>
      </c>
      <c r="J12" s="16" t="str">
        <f>IF(建机专用!C12&lt;&gt;"","A","")</f>
        <v>A</v>
      </c>
      <c r="K12" s="16" t="str">
        <f t="shared" si="0"/>
        <v/>
      </c>
    </row>
    <row r="13" spans="1:13" x14ac:dyDescent="0.25">
      <c r="A13" s="16" t="str">
        <f>IF(建机专用!C13&lt;&gt;"",建机专用!C13&amp;".","")</f>
        <v>vp12.yourdomain.com.</v>
      </c>
      <c r="B13" s="16">
        <f>IF(建机专用!C13&lt;&gt;"",1,"")</f>
        <v>1</v>
      </c>
      <c r="C13" s="16" t="str">
        <f>IF(建机专用!C13&lt;&gt;"","IN","")</f>
        <v>IN</v>
      </c>
      <c r="D13" s="16" t="str">
        <f>IF(建机专用!C13&lt;&gt;"","A","")</f>
        <v>A</v>
      </c>
      <c r="E13" s="16"/>
      <c r="G13" s="16" t="str">
        <f>IF(建机专用!F13&lt;&gt;"",建机专用!F13&amp;".","")</f>
        <v>vp12.dadfe.edu.cn.</v>
      </c>
      <c r="H13" s="16">
        <f>IF(建机专用!C13&lt;&gt;"",1,"")</f>
        <v>1</v>
      </c>
      <c r="I13" s="16" t="str">
        <f>IF(建机专用!C13&lt;&gt;"","IN","")</f>
        <v>IN</v>
      </c>
      <c r="J13" s="16" t="str">
        <f>IF(建机专用!C13&lt;&gt;"","A","")</f>
        <v>A</v>
      </c>
      <c r="K13" s="16" t="str">
        <f t="shared" si="0"/>
        <v/>
      </c>
    </row>
    <row r="14" spans="1:13" x14ac:dyDescent="0.25">
      <c r="A14" s="16" t="str">
        <f>IF(建机专用!C14&lt;&gt;"",建机专用!C14&amp;".","")</f>
        <v>vp13.yourdomain.com.</v>
      </c>
      <c r="B14" s="16">
        <f>IF(建机专用!C14&lt;&gt;"",1,"")</f>
        <v>1</v>
      </c>
      <c r="C14" s="16" t="str">
        <f>IF(建机专用!C14&lt;&gt;"","IN","")</f>
        <v>IN</v>
      </c>
      <c r="D14" s="16" t="str">
        <f>IF(建机专用!C14&lt;&gt;"","A","")</f>
        <v>A</v>
      </c>
      <c r="E14" s="16"/>
      <c r="G14" s="16" t="str">
        <f>IF(建机专用!F14&lt;&gt;"",建机专用!F14&amp;".","")</f>
        <v>vp13.dadfe.edu.cn.</v>
      </c>
      <c r="H14" s="16">
        <f>IF(建机专用!C14&lt;&gt;"",1,"")</f>
        <v>1</v>
      </c>
      <c r="I14" s="16" t="str">
        <f>IF(建机专用!C14&lt;&gt;"","IN","")</f>
        <v>IN</v>
      </c>
      <c r="J14" s="16" t="str">
        <f>IF(建机专用!C14&lt;&gt;"","A","")</f>
        <v>A</v>
      </c>
      <c r="K14" s="16" t="str">
        <f t="shared" si="0"/>
        <v/>
      </c>
    </row>
    <row r="15" spans="1:13" x14ac:dyDescent="0.25">
      <c r="A15" s="16" t="str">
        <f>IF(建机专用!C15&lt;&gt;"",建机专用!C15&amp;".","")</f>
        <v>vp14.yourdomain.com.</v>
      </c>
      <c r="B15" s="16">
        <f>IF(建机专用!C15&lt;&gt;"",1,"")</f>
        <v>1</v>
      </c>
      <c r="C15" s="16" t="str">
        <f>IF(建机专用!C15&lt;&gt;"","IN","")</f>
        <v>IN</v>
      </c>
      <c r="D15" s="16" t="str">
        <f>IF(建机专用!C15&lt;&gt;"","A","")</f>
        <v>A</v>
      </c>
      <c r="E15" s="16"/>
      <c r="G15" s="16" t="str">
        <f>IF(建机专用!F15&lt;&gt;"",建机专用!F15&amp;".","")</f>
        <v>vp14.dadfe.edu.cn.</v>
      </c>
      <c r="H15" s="16">
        <f>IF(建机专用!C15&lt;&gt;"",1,"")</f>
        <v>1</v>
      </c>
      <c r="I15" s="16" t="str">
        <f>IF(建机专用!C15&lt;&gt;"","IN","")</f>
        <v>IN</v>
      </c>
      <c r="J15" s="16" t="str">
        <f>IF(建机专用!C15&lt;&gt;"","A","")</f>
        <v>A</v>
      </c>
      <c r="K15" s="16" t="str">
        <f t="shared" si="0"/>
        <v/>
      </c>
    </row>
    <row r="16" spans="1:13" x14ac:dyDescent="0.25">
      <c r="A16" s="16" t="str">
        <f>IF(建机专用!C16&lt;&gt;"",建机专用!C16&amp;".","")</f>
        <v>vp15.yourdomain.com.</v>
      </c>
      <c r="B16" s="16">
        <f>IF(建机专用!C16&lt;&gt;"",1,"")</f>
        <v>1</v>
      </c>
      <c r="C16" s="16" t="str">
        <f>IF(建机专用!C16&lt;&gt;"","IN","")</f>
        <v>IN</v>
      </c>
      <c r="D16" s="16" t="str">
        <f>IF(建机专用!C16&lt;&gt;"","A","")</f>
        <v>A</v>
      </c>
      <c r="E16" s="16"/>
      <c r="G16" s="16" t="str">
        <f>IF(建机专用!F16&lt;&gt;"",建机专用!F16&amp;".","")</f>
        <v>vp15.dadfe.edu.cn.</v>
      </c>
      <c r="H16" s="16">
        <f>IF(建机专用!C16&lt;&gt;"",1,"")</f>
        <v>1</v>
      </c>
      <c r="I16" s="16" t="str">
        <f>IF(建机专用!C16&lt;&gt;"","IN","")</f>
        <v>IN</v>
      </c>
      <c r="J16" s="16" t="str">
        <f>IF(建机专用!C16&lt;&gt;"","A","")</f>
        <v>A</v>
      </c>
      <c r="K16" s="16" t="str">
        <f t="shared" si="0"/>
        <v/>
      </c>
    </row>
    <row r="17" spans="1:11" x14ac:dyDescent="0.25">
      <c r="A17" s="16" t="str">
        <f>IF(建机专用!C17&lt;&gt;"",建机专用!C17&amp;".","")</f>
        <v>vp16.yourdomain.com.</v>
      </c>
      <c r="B17" s="16">
        <f>IF(建机专用!C17&lt;&gt;"",1,"")</f>
        <v>1</v>
      </c>
      <c r="C17" s="16" t="str">
        <f>IF(建机专用!C17&lt;&gt;"","IN","")</f>
        <v>IN</v>
      </c>
      <c r="D17" s="16" t="str">
        <f>IF(建机专用!C17&lt;&gt;"","A","")</f>
        <v>A</v>
      </c>
      <c r="E17" s="16"/>
      <c r="G17" s="16" t="str">
        <f>IF(建机专用!F17&lt;&gt;"",建机专用!F17&amp;".","")</f>
        <v>vp16.dadfe.edu.cn.</v>
      </c>
      <c r="H17" s="16">
        <f>IF(建机专用!C17&lt;&gt;"",1,"")</f>
        <v>1</v>
      </c>
      <c r="I17" s="16" t="str">
        <f>IF(建机专用!C17&lt;&gt;"","IN","")</f>
        <v>IN</v>
      </c>
      <c r="J17" s="16" t="str">
        <f>IF(建机专用!C17&lt;&gt;"","A","")</f>
        <v>A</v>
      </c>
      <c r="K17" s="16" t="str">
        <f t="shared" si="0"/>
        <v/>
      </c>
    </row>
    <row r="18" spans="1:11" x14ac:dyDescent="0.25">
      <c r="A18" s="16" t="str">
        <f>IF(建机专用!C18&lt;&gt;"",建机专用!C18&amp;".","")</f>
        <v>vp17.yourdomain.com.</v>
      </c>
      <c r="B18" s="16">
        <f>IF(建机专用!C18&lt;&gt;"",1,"")</f>
        <v>1</v>
      </c>
      <c r="C18" s="16" t="str">
        <f>IF(建机专用!C18&lt;&gt;"","IN","")</f>
        <v>IN</v>
      </c>
      <c r="D18" s="16" t="str">
        <f>IF(建机专用!C18&lt;&gt;"","A","")</f>
        <v>A</v>
      </c>
      <c r="E18" s="16"/>
      <c r="G18" s="16" t="str">
        <f>IF(建机专用!F18&lt;&gt;"",建机专用!F18&amp;".","")</f>
        <v>vp17.dadfe.edu.cn.</v>
      </c>
      <c r="H18" s="16">
        <f>IF(建机专用!C18&lt;&gt;"",1,"")</f>
        <v>1</v>
      </c>
      <c r="I18" s="16" t="str">
        <f>IF(建机专用!C18&lt;&gt;"","IN","")</f>
        <v>IN</v>
      </c>
      <c r="J18" s="16" t="str">
        <f>IF(建机专用!C18&lt;&gt;"","A","")</f>
        <v>A</v>
      </c>
      <c r="K18" s="16" t="str">
        <f t="shared" si="0"/>
        <v/>
      </c>
    </row>
    <row r="19" spans="1:11" x14ac:dyDescent="0.25">
      <c r="A19" s="16" t="str">
        <f>IF(建机专用!C19&lt;&gt;"",建机专用!C19&amp;".","")</f>
        <v>vp18.yourdomain.com.</v>
      </c>
      <c r="B19" s="16">
        <f>IF(建机专用!C19&lt;&gt;"",1,"")</f>
        <v>1</v>
      </c>
      <c r="C19" s="16" t="str">
        <f>IF(建机专用!C19&lt;&gt;"","IN","")</f>
        <v>IN</v>
      </c>
      <c r="D19" s="16" t="str">
        <f>IF(建机专用!C19&lt;&gt;"","A","")</f>
        <v>A</v>
      </c>
      <c r="E19" s="16"/>
      <c r="G19" s="16" t="str">
        <f>IF(建机专用!F19&lt;&gt;"",建机专用!F19&amp;".","")</f>
        <v>vp18.dadfe.edu.cn.</v>
      </c>
      <c r="H19" s="16">
        <f>IF(建机专用!C19&lt;&gt;"",1,"")</f>
        <v>1</v>
      </c>
      <c r="I19" s="16" t="str">
        <f>IF(建机专用!C19&lt;&gt;"","IN","")</f>
        <v>IN</v>
      </c>
      <c r="J19" s="16" t="str">
        <f>IF(建机专用!C19&lt;&gt;"","A","")</f>
        <v>A</v>
      </c>
      <c r="K19" s="16" t="str">
        <f t="shared" si="0"/>
        <v/>
      </c>
    </row>
    <row r="20" spans="1:11" x14ac:dyDescent="0.25">
      <c r="A20" s="16" t="str">
        <f>IF(建机专用!C20&lt;&gt;"",建机专用!C20&amp;".","")</f>
        <v>vp19.yourdomain.com.</v>
      </c>
      <c r="B20" s="16">
        <f>IF(建机专用!C20&lt;&gt;"",1,"")</f>
        <v>1</v>
      </c>
      <c r="C20" s="16" t="str">
        <f>IF(建机专用!C20&lt;&gt;"","IN","")</f>
        <v>IN</v>
      </c>
      <c r="D20" s="16" t="str">
        <f>IF(建机专用!C20&lt;&gt;"","A","")</f>
        <v>A</v>
      </c>
      <c r="E20" s="16"/>
      <c r="G20" s="16" t="str">
        <f>IF(建机专用!F20&lt;&gt;"",建机专用!F20&amp;".","")</f>
        <v>vp19.dadfe.edu.cn.</v>
      </c>
      <c r="H20" s="16">
        <f>IF(建机专用!C20&lt;&gt;"",1,"")</f>
        <v>1</v>
      </c>
      <c r="I20" s="16" t="str">
        <f>IF(建机专用!C20&lt;&gt;"","IN","")</f>
        <v>IN</v>
      </c>
      <c r="J20" s="16" t="str">
        <f>IF(建机专用!C20&lt;&gt;"","A","")</f>
        <v>A</v>
      </c>
      <c r="K20" s="16" t="str">
        <f t="shared" si="0"/>
        <v/>
      </c>
    </row>
    <row r="21" spans="1:11" x14ac:dyDescent="0.25">
      <c r="A21" s="16" t="str">
        <f>IF(建机专用!C21&lt;&gt;"",建机专用!C21&amp;".","")</f>
        <v>vp20.yourdomain.com.</v>
      </c>
      <c r="B21" s="16">
        <f>IF(建机专用!C21&lt;&gt;"",1,"")</f>
        <v>1</v>
      </c>
      <c r="C21" s="16" t="str">
        <f>IF(建机专用!C21&lt;&gt;"","IN","")</f>
        <v>IN</v>
      </c>
      <c r="D21" s="16" t="str">
        <f>IF(建机专用!C21&lt;&gt;"","A","")</f>
        <v>A</v>
      </c>
      <c r="E21" s="16"/>
      <c r="G21" s="16" t="str">
        <f>IF(建机专用!F21&lt;&gt;"",建机专用!F21&amp;".","")</f>
        <v>vp20.dadfe.edu.cn.</v>
      </c>
      <c r="H21" s="16">
        <f>IF(建机专用!C21&lt;&gt;"",1,"")</f>
        <v>1</v>
      </c>
      <c r="I21" s="16" t="str">
        <f>IF(建机专用!C21&lt;&gt;"","IN","")</f>
        <v>IN</v>
      </c>
      <c r="J21" s="16" t="str">
        <f>IF(建机专用!C21&lt;&gt;"","A","")</f>
        <v>A</v>
      </c>
      <c r="K21" s="16" t="str">
        <f t="shared" si="0"/>
        <v/>
      </c>
    </row>
    <row r="22" spans="1:11" x14ac:dyDescent="0.25">
      <c r="A22" t="str">
        <f>IF(建机专用!C22&lt;&gt;"",建机专用!C22&amp;".","")</f>
        <v/>
      </c>
    </row>
    <row r="24" spans="1:11" x14ac:dyDescent="0.25">
      <c r="E24" t="s">
        <v>44</v>
      </c>
    </row>
    <row r="25" spans="1:11" x14ac:dyDescent="0.25">
      <c r="E25" t="s">
        <v>42</v>
      </c>
    </row>
    <row r="26" spans="1:11" x14ac:dyDescent="0.25">
      <c r="E26" s="5" t="s">
        <v>45</v>
      </c>
    </row>
    <row r="27" spans="1:11" x14ac:dyDescent="0.25">
      <c r="E27" t="s">
        <v>46</v>
      </c>
    </row>
    <row r="28" spans="1:11" ht="4.95" customHeight="1" x14ac:dyDescent="0.25"/>
    <row r="29" spans="1:11" x14ac:dyDescent="0.25">
      <c r="E29" s="4" t="s">
        <v>43</v>
      </c>
    </row>
    <row r="30" spans="1:11" x14ac:dyDescent="0.25">
      <c r="E30" s="17" t="s">
        <v>47</v>
      </c>
    </row>
  </sheetData>
  <mergeCells count="2">
    <mergeCell ref="A1:E1"/>
    <mergeCell ref="G1:K1"/>
  </mergeCells>
  <phoneticPr fontId="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B8279-3E9B-4FFF-A57B-AA854401BD34}">
  <sheetPr codeName="Sheet1">
    <tabColor theme="5"/>
  </sheetPr>
  <dimension ref="A1:O42"/>
  <sheetViews>
    <sheetView tabSelected="1" zoomScaleNormal="100" workbookViewId="0">
      <pane ySplit="1" topLeftCell="A2" activePane="bottomLeft" state="frozen"/>
      <selection pane="bottomLeft" activeCell="E15" sqref="E15"/>
    </sheetView>
  </sheetViews>
  <sheetFormatPr defaultRowHeight="13.8" x14ac:dyDescent="0.25"/>
  <cols>
    <col min="1" max="1" width="3" style="104" bestFit="1" customWidth="1"/>
    <col min="2" max="2" width="37.77734375" style="86" customWidth="1"/>
    <col min="3" max="3" width="20.44140625" style="86" customWidth="1"/>
    <col min="4" max="4" width="8.44140625" style="105" customWidth="1"/>
    <col min="5" max="5" width="17.33203125" style="86" bestFit="1" customWidth="1"/>
    <col min="6" max="9" width="17.5546875" style="86" customWidth="1"/>
    <col min="10" max="12" width="17.5546875" style="106" customWidth="1"/>
    <col min="13" max="15" width="17.5546875" style="86" customWidth="1"/>
    <col min="16" max="16384" width="8.88671875" style="86"/>
  </cols>
  <sheetData>
    <row r="1" spans="1:15" s="112" customFormat="1" ht="15.6" x14ac:dyDescent="0.25">
      <c r="A1" s="118" t="s">
        <v>7</v>
      </c>
      <c r="B1" s="98" t="s">
        <v>72</v>
      </c>
      <c r="C1" s="98" t="s">
        <v>0</v>
      </c>
      <c r="D1" s="98" t="s">
        <v>20</v>
      </c>
      <c r="E1" s="119" t="s">
        <v>12</v>
      </c>
      <c r="F1" s="119" t="s">
        <v>33</v>
      </c>
      <c r="G1" s="120" t="s">
        <v>456</v>
      </c>
      <c r="H1" s="120" t="s">
        <v>454</v>
      </c>
      <c r="I1" s="120" t="s">
        <v>452</v>
      </c>
      <c r="J1" s="99" t="s">
        <v>1</v>
      </c>
      <c r="K1" s="99" t="s">
        <v>2</v>
      </c>
      <c r="L1" s="99" t="s">
        <v>19</v>
      </c>
      <c r="M1" s="121" t="s">
        <v>460</v>
      </c>
      <c r="N1" s="122" t="s">
        <v>34</v>
      </c>
      <c r="O1" s="122" t="s">
        <v>35</v>
      </c>
    </row>
    <row r="2" spans="1:15" x14ac:dyDescent="0.25">
      <c r="A2" s="80">
        <v>1</v>
      </c>
      <c r="B2" s="81" t="str">
        <f>生成UUID!C2</f>
        <v>adb45e76-b0e7-4c0b-90b7-8c41a9e04e51</v>
      </c>
      <c r="C2" s="83" t="str">
        <f>$B$25&amp;IF($B$29="数字",ROW()-1,IF($B$29="字母",CHAR(ROW(A1)+96),"错误"))&amp;"."&amp;$B$32</f>
        <v>vp1.yourdomain.com</v>
      </c>
      <c r="D2" s="83" t="str">
        <f>$B$35</f>
        <v>64ffw</v>
      </c>
      <c r="E2" s="123" t="s">
        <v>555</v>
      </c>
      <c r="F2" s="123" t="str">
        <f t="shared" ref="F2:F21" si="0">LEFT(C2,FIND(".",C2)-1)&amp;"."&amp;$B$38</f>
        <v>vp1.dadfe.edu.cn</v>
      </c>
      <c r="G2" s="124" t="str">
        <f t="shared" ref="G2:G21" si="1">UPPER(LEFT(C2,FIND(".",C2)-1))&amp;"_VMess_WS = vmess, "&amp;E2&amp;", 443, username="&amp;B2&amp;", ws=true, tls=true, ws-path=/"&amp;D2&amp;"vws, skip-cert-verify=false, udp-relay=false, vmess-aead=true, ws-headers=Host:"&amp;C2&amp;", sni="&amp;C2</f>
        <v>VP1_VMess_WS = vmess, cf02.e6w.eu.org, 443, username=adb45e76-b0e7-4c0b-90b7-8c41a9e04e51, ws=true, tls=true, ws-path=/64ffwvws, skip-cert-verify=false, udp-relay=false, vmess-aead=true, ws-headers=Host:vp1.yourdomain.com, sni=vp1.yourdomain.com</v>
      </c>
      <c r="H2" s="125" t="str">
        <f t="shared" ref="H2:H21" si="2">"vless://"&amp;B2&amp;"@"&amp;F2&amp;":4567?encryption=none&amp;security=reality&amp;type=tcp&amp;sni="&amp;C2&amp;"&amp;fp=chrome&amp;pbk=swgXIpGcJF34pYYwjPznkG4jZ6dH8oLaO2ImCbFTMVE&amp;sid=6ba85179e30d4fc2&amp;flow=xtls-rprx-vision#"&amp;UPPER(LEFT(C2,FIND(".",C2)-1))&amp;"_Reality_TLS"</f>
        <v>vless://adb45e76-b0e7-4c0b-90b7-8c41a9e04e51@vp1.dadfe.edu.cn:4567?encryption=none&amp;security=reality&amp;type=tcp&amp;sni=vp1.yourdomain.com&amp;fp=chrome&amp;pbk=swgXIpGcJF34pYYwjPznkG4jZ6dH8oLaO2ImCbFTMVE&amp;sid=6ba85179e30d4fc2&amp;flow=xtls-rprx-vision#VP1_Reality_TLS</v>
      </c>
      <c r="I2" s="125" t="str">
        <f t="shared" ref="I2:I21" si="3">"vless://"&amp;B2&amp;"@"&amp;F2&amp;":4567?encryption=none&amp;security=reality&amp;type=grpc&amp;sni="&amp;C2&amp;"&amp;fp=chrome&amp;pbk=swgXIpGcJF34pYYwjPznkG4jZ6dH8oLaO2ImCbFTMVE&amp;sid=6ba85179e30d4fc2&amp;path=grpc&amp;serviceName=grpc#"&amp;UPPER(LEFT(C2,FIND(".",C2)-1))&amp;"_Reality_gRPC"</f>
        <v>vless://adb45e76-b0e7-4c0b-90b7-8c41a9e04e51@vp1.dadfe.edu.cn:4567?encryption=none&amp;security=reality&amp;type=grpc&amp;sni=vp1.yourdomain.com&amp;fp=chrome&amp;pbk=swgXIpGcJF34pYYwjPznkG4jZ6dH8oLaO2ImCbFTMVE&amp;sid=6ba85179e30d4fc2&amp;path=grpc&amp;serviceName=grpc#VP1_Reality_gRPC</v>
      </c>
      <c r="J2" s="84" t="str">
        <f t="shared" ref="J2:J21" si="4">" vless://"&amp;B2&amp;"@"&amp;IF(E2="",C2,E2)&amp;":443?encryption=none&amp;security=tls&amp;type=ws&amp;host="&amp;C2&amp;"&amp;sni="&amp;C2&amp;"&amp;fp=chrome&amp;path=/"&amp;D2&amp;"ws#"&amp;UPPER(LEFT(C2,FIND(".",C2)-1))&amp;"_VLESS_WS"</f>
        <v xml:space="preserve"> vless://adb45e76-b0e7-4c0b-90b7-8c41a9e04e51@cf02.e6w.eu.org:443?encryption=none&amp;security=tls&amp;type=ws&amp;host=vp1.yourdomain.com&amp;sni=vp1.yourdomain.com&amp;fp=chrome&amp;path=/64ffwws#VP1_VLESS_WS</v>
      </c>
      <c r="K2" s="84" t="str">
        <f t="shared" ref="K2:K21" si="5">"vless://"&amp;B2&amp;"@"&amp;IF(E2="",C2,E2)&amp;":443?encryption=none&amp;security=tls&amp;type=grpc&amp;host="&amp;C2&amp;"&amp;path="&amp;D2&amp;"grpc&amp;fp=chrome&amp;serviceName="&amp;D2&amp;"grpc&amp;alpn=h2&amp;sni="&amp;C2&amp;"#"&amp;UPPER(LEFT(C2,FIND(".",C2)-1))&amp;"_VLESS_gRPC"</f>
        <v>vless://adb45e76-b0e7-4c0b-90b7-8c41a9e04e51@cf02.e6w.eu.org:443?encryption=none&amp;security=tls&amp;type=grpc&amp;host=vp1.yourdomain.com&amp;path=64ffwgrpc&amp;fp=chrome&amp;serviceName=64ffwgrpc&amp;alpn=h2&amp;sni=vp1.yourdomain.com#VP1_VLESS_gRPC</v>
      </c>
      <c r="L2" s="84" t="str">
        <f t="shared" ref="L2:L21" si="6">"trojan://"&amp;B2&amp;"@"&amp;IF(E2="",C2,E2)&amp;":443?encryption=none&amp;peer="&amp;C2&amp;"&amp;fp=chrome&amp;security=tls&amp;type=grpc&amp;sni="&amp;C2&amp;"&amp;alpn=h2&amp;path="&amp;D2&amp;"trojangrpc&amp;serviceName="&amp;D2&amp;"trojangrpc#"&amp;UPPER(LEFT(C2,FIND(".",C2)-1))&amp;"_Trojan_gRPC"</f>
        <v>trojan://adb45e76-b0e7-4c0b-90b7-8c41a9e04e51@cf02.e6w.eu.org:443?encryption=none&amp;peer=vp1.yourdomain.com&amp;fp=chrome&amp;security=tls&amp;type=grpc&amp;sni=vp1.yourdomain.com&amp;alpn=h2&amp;path=64ffwtrojangrpc&amp;serviceName=64ffwtrojangrpc#VP1_Trojan_gRPC</v>
      </c>
      <c r="M2" s="126" t="str" cm="1">
        <f t="array" ref="M2">IF(B2&lt;&gt;"","vmess://"&amp;EncodeBase64("  {""port"":443,""ps"""&amp;":"""&amp;UPPER(LEFT(C2,FIND(".",C2)-1))&amp;"_VMess_WS"",""tls"":""tls"",""id"":"""&amp;B2&amp;""",""aid"":0,""v"":2,""host"":"""&amp;C2&amp;""",""type"":""none"",""path"":""/"&amp;D2&amp;"vws"&amp;""",""net"":""ws"",""add"":"""&amp;F2&amp;""""&amp;","&amp;"""allowInsecure"":0,""method"":""none"",""peer"":"""&amp;C2&amp;""",""sni"":"""&amp;C2&amp;"""}"),"")</f>
        <v>vmess://ICB7InBvcnQiOjQ0MywicHMiOiJWUDFfVk1lc3NfV1MiLCJ0bHMiOiJ0bHMiLCJpZCI6ImFkYjQ1ZTc2LWIwZTctNGMwYi05MGI3LThjNDFhOWUwNGU1MSIsImFpZCI6MCwidiI6MiwiaG9zdCI6InZwMS55b3VyZG9tYWluLmNvbSIsInR5cGUiOiJub25lIiwicGF0aCI6Ii82NGZmd3Z3cyIsIm5ldCI6IndzIiwiYWRkIjoidnAxLmRhZGZlLmVkdS5jbiIsImFsbG93SW5zZWN1cmUiOjAsIm1ldGhvZCI6Im5vbmUiLCJwZWVyIjoidnAxLnlvdXJkb21haW4uY29tIiwic25pIjoidnAxLnlvdXJkb21haW4uY29tIn0=</v>
      </c>
      <c r="N2" s="84" t="str">
        <f t="shared" ref="N2:N21" si="7">"trojan://"&amp;B2&amp;"@"&amp;F2&amp;":443?peer="&amp;C2&amp;"&amp;fp=chrome&amp;sni="&amp;C2&amp;"&amp;alpn=http/1.1#"&amp;UPPER(LEFT(C2,FIND(".",C2)-1))&amp;"_Trojan"</f>
        <v>trojan://adb45e76-b0e7-4c0b-90b7-8c41a9e04e51@vp1.dadfe.edu.cn:443?peer=vp1.yourdomain.com&amp;fp=chrome&amp;sni=vp1.yourdomain.com&amp;alpn=http/1.1#VP1_Trojan</v>
      </c>
      <c r="O2" s="84" t="str">
        <f t="shared" ref="O2:O21" si="8">IF(B2&lt;&gt;""," vless://"&amp;B2&amp;"@"&amp;IF(F2="",C2,F2)&amp;":443?encryption=none&amp;security=tls&amp;fp=chrome&amp;type=tcp&amp;host="&amp;C2&amp;"&amp;headerType=none&amp;sni="&amp;C2&amp;"&amp;flow=xtls-rprx-vision#"&amp;UPPER(LEFT(C2,FIND(".",C2)-1))&amp;"_VLESS_TLS","")</f>
        <v xml:space="preserve"> vless://adb45e76-b0e7-4c0b-90b7-8c41a9e04e51@vp1.dadfe.edu.cn:443?encryption=none&amp;security=tls&amp;fp=chrome&amp;type=tcp&amp;host=vp1.yourdomain.com&amp;headerType=none&amp;sni=vp1.yourdomain.com&amp;flow=xtls-rprx-vision#VP1_VLESS_TLS</v>
      </c>
    </row>
    <row r="3" spans="1:15" x14ac:dyDescent="0.25">
      <c r="A3" s="80">
        <v>2</v>
      </c>
      <c r="B3" s="81" t="str">
        <f>生成UUID!C3</f>
        <v>8b224414-a49a-4bd4-85ac-2fb4e65133a2</v>
      </c>
      <c r="C3" s="83" t="str">
        <f t="shared" ref="C3:C21" si="9">$B$25&amp;IF($B$29="数字",ROW()-1,IF($B$29="字母",CHAR(ROW(A2)+96),"错误"))&amp;"."&amp;$B$32</f>
        <v>vp2.yourdomain.com</v>
      </c>
      <c r="D3" s="83" t="str">
        <f t="shared" ref="D3:D21" si="10">$B$35</f>
        <v>64ffw</v>
      </c>
      <c r="E3" s="123" t="s">
        <v>556</v>
      </c>
      <c r="F3" s="123" t="str">
        <f t="shared" si="0"/>
        <v>vp2.dadfe.edu.cn</v>
      </c>
      <c r="G3" s="124" t="str">
        <f t="shared" si="1"/>
        <v>VP2_VMess_WS = vmess, cf02.e7w.eu.org, 443, username=8b224414-a49a-4bd4-85ac-2fb4e65133a2, ws=true, tls=true, ws-path=/64ffwvws, skip-cert-verify=false, udp-relay=false, vmess-aead=true, ws-headers=Host:vp2.yourdomain.com, sni=vp2.yourdomain.com</v>
      </c>
      <c r="H3" s="125" t="str">
        <f t="shared" si="2"/>
        <v>vless://8b224414-a49a-4bd4-85ac-2fb4e65133a2@vp2.dadfe.edu.cn:4567?encryption=none&amp;security=reality&amp;type=tcp&amp;sni=vp2.yourdomain.com&amp;fp=chrome&amp;pbk=swgXIpGcJF34pYYwjPznkG4jZ6dH8oLaO2ImCbFTMVE&amp;sid=6ba85179e30d4fc2&amp;flow=xtls-rprx-vision#VP2_Reality_TLS</v>
      </c>
      <c r="I3" s="125" t="str">
        <f t="shared" si="3"/>
        <v>vless://8b224414-a49a-4bd4-85ac-2fb4e65133a2@vp2.dadfe.edu.cn:4567?encryption=none&amp;security=reality&amp;type=grpc&amp;sni=vp2.yourdomain.com&amp;fp=chrome&amp;pbk=swgXIpGcJF34pYYwjPznkG4jZ6dH8oLaO2ImCbFTMVE&amp;sid=6ba85179e30d4fc2&amp;path=grpc&amp;serviceName=grpc#VP2_Reality_gRPC</v>
      </c>
      <c r="J3" s="84" t="str">
        <f t="shared" si="4"/>
        <v xml:space="preserve"> vless://8b224414-a49a-4bd4-85ac-2fb4e65133a2@cf02.e7w.eu.org:443?encryption=none&amp;security=tls&amp;type=ws&amp;host=vp2.yourdomain.com&amp;sni=vp2.yourdomain.com&amp;fp=chrome&amp;path=/64ffwws#VP2_VLESS_WS</v>
      </c>
      <c r="K3" s="84" t="str">
        <f t="shared" si="5"/>
        <v>vless://8b224414-a49a-4bd4-85ac-2fb4e65133a2@cf02.e7w.eu.org:443?encryption=none&amp;security=tls&amp;type=grpc&amp;host=vp2.yourdomain.com&amp;path=64ffwgrpc&amp;fp=chrome&amp;serviceName=64ffwgrpc&amp;alpn=h2&amp;sni=vp2.yourdomain.com#VP2_VLESS_gRPC</v>
      </c>
      <c r="L3" s="84" t="str">
        <f t="shared" si="6"/>
        <v>trojan://8b224414-a49a-4bd4-85ac-2fb4e65133a2@cf02.e7w.eu.org:443?encryption=none&amp;peer=vp2.yourdomain.com&amp;fp=chrome&amp;security=tls&amp;type=grpc&amp;sni=vp2.yourdomain.com&amp;alpn=h2&amp;path=64ffwtrojangrpc&amp;serviceName=64ffwtrojangrpc#VP2_Trojan_gRPC</v>
      </c>
      <c r="M3" s="126" t="str" cm="1">
        <f t="array" ref="M3">IF(B3&lt;&gt;"","vmess://"&amp;EncodeBase64("  {""port"":443,""ps"""&amp;":"""&amp;UPPER(LEFT(C3,FIND(".",C3)-1))&amp;"_VMess_WS"",""tls"":""tls"",""id"":"""&amp;B3&amp;""",""aid"":0,""v"":2,""host"":"""&amp;C3&amp;""",""type"":""none"",""path"":""/"&amp;D3&amp;"vws"&amp;""",""net"":""ws"",""add"":"""&amp;F3&amp;""""&amp;","&amp;"""allowInsecure"":0,""method"":""none"",""peer"":"""&amp;C3&amp;""",""sni"":"""&amp;C3&amp;"""}"),"")</f>
        <v>vmess://ICB7InBvcnQiOjQ0MywicHMiOiJWUDJfVk1lc3NfV1MiLCJ0bHMiOiJ0bHMiLCJpZCI6IjhiMjI0NDE0LWE0OWEtNGJkNC04NWFjLTJmYjRlNjUxMzNhMiIsImFpZCI6MCwidiI6MiwiaG9zdCI6InZwMi55b3VyZG9tYWluLmNvbSIsInR5cGUiOiJub25lIiwicGF0aCI6Ii82NGZmd3Z3cyIsIm5ldCI6IndzIiwiYWRkIjoidnAyLmRhZGZlLmVkdS5jbiIsImFsbG93SW5zZWN1cmUiOjAsIm1ldGhvZCI6Im5vbmUiLCJwZWVyIjoidnAyLnlvdXJkb21haW4uY29tIiwic25pIjoidnAyLnlvdXJkb21haW4uY29tIn0=</v>
      </c>
      <c r="N3" s="84" t="str">
        <f t="shared" si="7"/>
        <v>trojan://8b224414-a49a-4bd4-85ac-2fb4e65133a2@vp2.dadfe.edu.cn:443?peer=vp2.yourdomain.com&amp;fp=chrome&amp;sni=vp2.yourdomain.com&amp;alpn=http/1.1#VP2_Trojan</v>
      </c>
      <c r="O3" s="84" t="str">
        <f t="shared" si="8"/>
        <v xml:space="preserve"> vless://8b224414-a49a-4bd4-85ac-2fb4e65133a2@vp2.dadfe.edu.cn:443?encryption=none&amp;security=tls&amp;fp=chrome&amp;type=tcp&amp;host=vp2.yourdomain.com&amp;headerType=none&amp;sni=vp2.yourdomain.com&amp;flow=xtls-rprx-vision#VP2_VLESS_TLS</v>
      </c>
    </row>
    <row r="4" spans="1:15" x14ac:dyDescent="0.25">
      <c r="A4" s="80">
        <v>3</v>
      </c>
      <c r="B4" s="81" t="str">
        <f>生成UUID!C4</f>
        <v>e514eace-f7fc-4689-9547-91b810c9b906</v>
      </c>
      <c r="C4" s="83" t="str">
        <f t="shared" si="9"/>
        <v>vp3.yourdomain.com</v>
      </c>
      <c r="D4" s="83" t="str">
        <f t="shared" si="10"/>
        <v>64ffw</v>
      </c>
      <c r="E4" s="123" t="s">
        <v>557</v>
      </c>
      <c r="F4" s="123" t="str">
        <f t="shared" si="0"/>
        <v>vp3.dadfe.edu.cn</v>
      </c>
      <c r="G4" s="124" t="str">
        <f t="shared" si="1"/>
        <v>VP3_VMess_WS = vmess, cf02.e8w.eu.org, 443, username=e514eace-f7fc-4689-9547-91b810c9b906, ws=true, tls=true, ws-path=/64ffwvws, skip-cert-verify=false, udp-relay=false, vmess-aead=true, ws-headers=Host:vp3.yourdomain.com, sni=vp3.yourdomain.com</v>
      </c>
      <c r="H4" s="125" t="str">
        <f t="shared" si="2"/>
        <v>vless://e514eace-f7fc-4689-9547-91b810c9b906@vp3.dadfe.edu.cn:4567?encryption=none&amp;security=reality&amp;type=tcp&amp;sni=vp3.yourdomain.com&amp;fp=chrome&amp;pbk=swgXIpGcJF34pYYwjPznkG4jZ6dH8oLaO2ImCbFTMVE&amp;sid=6ba85179e30d4fc2&amp;flow=xtls-rprx-vision#VP3_Reality_TLS</v>
      </c>
      <c r="I4" s="125" t="str">
        <f t="shared" si="3"/>
        <v>vless://e514eace-f7fc-4689-9547-91b810c9b906@vp3.dadfe.edu.cn:4567?encryption=none&amp;security=reality&amp;type=grpc&amp;sni=vp3.yourdomain.com&amp;fp=chrome&amp;pbk=swgXIpGcJF34pYYwjPznkG4jZ6dH8oLaO2ImCbFTMVE&amp;sid=6ba85179e30d4fc2&amp;path=grpc&amp;serviceName=grpc#VP3_Reality_gRPC</v>
      </c>
      <c r="J4" s="84" t="str">
        <f t="shared" si="4"/>
        <v xml:space="preserve"> vless://e514eace-f7fc-4689-9547-91b810c9b906@cf02.e8w.eu.org:443?encryption=none&amp;security=tls&amp;type=ws&amp;host=vp3.yourdomain.com&amp;sni=vp3.yourdomain.com&amp;fp=chrome&amp;path=/64ffwws#VP3_VLESS_WS</v>
      </c>
      <c r="K4" s="84" t="str">
        <f t="shared" si="5"/>
        <v>vless://e514eace-f7fc-4689-9547-91b810c9b906@cf02.e8w.eu.org:443?encryption=none&amp;security=tls&amp;type=grpc&amp;host=vp3.yourdomain.com&amp;path=64ffwgrpc&amp;fp=chrome&amp;serviceName=64ffwgrpc&amp;alpn=h2&amp;sni=vp3.yourdomain.com#VP3_VLESS_gRPC</v>
      </c>
      <c r="L4" s="84" t="str">
        <f t="shared" si="6"/>
        <v>trojan://e514eace-f7fc-4689-9547-91b810c9b906@cf02.e8w.eu.org:443?encryption=none&amp;peer=vp3.yourdomain.com&amp;fp=chrome&amp;security=tls&amp;type=grpc&amp;sni=vp3.yourdomain.com&amp;alpn=h2&amp;path=64ffwtrojangrpc&amp;serviceName=64ffwtrojangrpc#VP3_Trojan_gRPC</v>
      </c>
      <c r="M4" s="126" t="str" cm="1">
        <f t="array" ref="M4">IF(B4&lt;&gt;"","vmess://"&amp;EncodeBase64("  {""port"":443,""ps"""&amp;":"""&amp;UPPER(LEFT(C4,FIND(".",C4)-1))&amp;"_VMess_WS"",""tls"":""tls"",""id"":"""&amp;B4&amp;""",""aid"":0,""v"":2,""host"":"""&amp;C4&amp;""",""type"":""none"",""path"":""/"&amp;D4&amp;"vws"&amp;""",""net"":""ws"",""add"":"""&amp;F4&amp;""""&amp;","&amp;"""allowInsecure"":0,""method"":""none"",""peer"":"""&amp;C4&amp;""",""sni"":"""&amp;C4&amp;"""}"),"")</f>
        <v>vmess://ICB7InBvcnQiOjQ0MywicHMiOiJWUDNfVk1lc3NfV1MiLCJ0bHMiOiJ0bHMiLCJpZCI6ImU1MTRlYWNlLWY3ZmMtNDY4OS05NTQ3LTkxYjgxMGM5YjkwNiIsImFpZCI6MCwidiI6MiwiaG9zdCI6InZwMy55b3VyZG9tYWluLmNvbSIsInR5cGUiOiJub25lIiwicGF0aCI6Ii82NGZmd3Z3cyIsIm5ldCI6IndzIiwiYWRkIjoidnAzLmRhZGZlLmVkdS5jbiIsImFsbG93SW5zZWN1cmUiOjAsIm1ldGhvZCI6Im5vbmUiLCJwZWVyIjoidnAzLnlvdXJkb21haW4uY29tIiwic25pIjoidnAzLnlvdXJkb21haW4uY29tIn0=</v>
      </c>
      <c r="N4" s="84" t="str">
        <f t="shared" si="7"/>
        <v>trojan://e514eace-f7fc-4689-9547-91b810c9b906@vp3.dadfe.edu.cn:443?peer=vp3.yourdomain.com&amp;fp=chrome&amp;sni=vp3.yourdomain.com&amp;alpn=http/1.1#VP3_Trojan</v>
      </c>
      <c r="O4" s="84" t="str">
        <f t="shared" si="8"/>
        <v xml:space="preserve"> vless://e514eace-f7fc-4689-9547-91b810c9b906@vp3.dadfe.edu.cn:443?encryption=none&amp;security=tls&amp;fp=chrome&amp;type=tcp&amp;host=vp3.yourdomain.com&amp;headerType=none&amp;sni=vp3.yourdomain.com&amp;flow=xtls-rprx-vision#VP3_VLESS_TLS</v>
      </c>
    </row>
    <row r="5" spans="1:15" x14ac:dyDescent="0.25">
      <c r="A5" s="80">
        <v>4</v>
      </c>
      <c r="B5" s="81" t="str">
        <f>生成UUID!C5</f>
        <v>15c2d187-dd1a-403a-a450-ddfbcb929556</v>
      </c>
      <c r="C5" s="83" t="str">
        <f t="shared" si="9"/>
        <v>vp4.yourdomain.com</v>
      </c>
      <c r="D5" s="83" t="str">
        <f t="shared" si="10"/>
        <v>64ffw</v>
      </c>
      <c r="E5" s="123" t="s">
        <v>558</v>
      </c>
      <c r="F5" s="123" t="str">
        <f t="shared" si="0"/>
        <v>vp4.dadfe.edu.cn</v>
      </c>
      <c r="G5" s="124" t="str">
        <f t="shared" si="1"/>
        <v>VP4_VMess_WS = vmess, cf02.e9w.eu.org, 443, username=15c2d187-dd1a-403a-a450-ddfbcb929556, ws=true, tls=true, ws-path=/64ffwvws, skip-cert-verify=false, udp-relay=false, vmess-aead=true, ws-headers=Host:vp4.yourdomain.com, sni=vp4.yourdomain.com</v>
      </c>
      <c r="H5" s="125" t="str">
        <f t="shared" si="2"/>
        <v>vless://15c2d187-dd1a-403a-a450-ddfbcb929556@vp4.dadfe.edu.cn:4567?encryption=none&amp;security=reality&amp;type=tcp&amp;sni=vp4.yourdomain.com&amp;fp=chrome&amp;pbk=swgXIpGcJF34pYYwjPznkG4jZ6dH8oLaO2ImCbFTMVE&amp;sid=6ba85179e30d4fc2&amp;flow=xtls-rprx-vision#VP4_Reality_TLS</v>
      </c>
      <c r="I5" s="125" t="str">
        <f t="shared" si="3"/>
        <v>vless://15c2d187-dd1a-403a-a450-ddfbcb929556@vp4.dadfe.edu.cn:4567?encryption=none&amp;security=reality&amp;type=grpc&amp;sni=vp4.yourdomain.com&amp;fp=chrome&amp;pbk=swgXIpGcJF34pYYwjPznkG4jZ6dH8oLaO2ImCbFTMVE&amp;sid=6ba85179e30d4fc2&amp;path=grpc&amp;serviceName=grpc#VP4_Reality_gRPC</v>
      </c>
      <c r="J5" s="84" t="str">
        <f t="shared" si="4"/>
        <v xml:space="preserve"> vless://15c2d187-dd1a-403a-a450-ddfbcb929556@cf02.e9w.eu.org:443?encryption=none&amp;security=tls&amp;type=ws&amp;host=vp4.yourdomain.com&amp;sni=vp4.yourdomain.com&amp;fp=chrome&amp;path=/64ffwws#VP4_VLESS_WS</v>
      </c>
      <c r="K5" s="84" t="str">
        <f t="shared" si="5"/>
        <v>vless://15c2d187-dd1a-403a-a450-ddfbcb929556@cf02.e9w.eu.org:443?encryption=none&amp;security=tls&amp;type=grpc&amp;host=vp4.yourdomain.com&amp;path=64ffwgrpc&amp;fp=chrome&amp;serviceName=64ffwgrpc&amp;alpn=h2&amp;sni=vp4.yourdomain.com#VP4_VLESS_gRPC</v>
      </c>
      <c r="L5" s="84" t="str">
        <f t="shared" si="6"/>
        <v>trojan://15c2d187-dd1a-403a-a450-ddfbcb929556@cf02.e9w.eu.org:443?encryption=none&amp;peer=vp4.yourdomain.com&amp;fp=chrome&amp;security=tls&amp;type=grpc&amp;sni=vp4.yourdomain.com&amp;alpn=h2&amp;path=64ffwtrojangrpc&amp;serviceName=64ffwtrojangrpc#VP4_Trojan_gRPC</v>
      </c>
      <c r="M5" s="126" t="str" cm="1">
        <f t="array" ref="M5">IF(B5&lt;&gt;"","vmess://"&amp;EncodeBase64("  {""port"":443,""ps"""&amp;":"""&amp;UPPER(LEFT(C5,FIND(".",C5)-1))&amp;"_VMess_WS"",""tls"":""tls"",""id"":"""&amp;B5&amp;""",""aid"":0,""v"":2,""host"":"""&amp;C5&amp;""",""type"":""none"",""path"":""/"&amp;D5&amp;"vws"&amp;""",""net"":""ws"",""add"":"""&amp;F5&amp;""""&amp;","&amp;"""allowInsecure"":0,""method"":""none"",""peer"":"""&amp;C5&amp;""",""sni"":"""&amp;C5&amp;"""}"),"")</f>
        <v>vmess://ICB7InBvcnQiOjQ0MywicHMiOiJWUDRfVk1lc3NfV1MiLCJ0bHMiOiJ0bHMiLCJpZCI6IjE1YzJkMTg3LWRkMWEtNDAzYS1hNDUwLWRkZmJjYjkyOTU1NiIsImFpZCI6MCwidiI6MiwiaG9zdCI6InZwNC55b3VyZG9tYWluLmNvbSIsInR5cGUiOiJub25lIiwicGF0aCI6Ii82NGZmd3Z3cyIsIm5ldCI6IndzIiwiYWRkIjoidnA0LmRhZGZlLmVkdS5jbiIsImFsbG93SW5zZWN1cmUiOjAsIm1ldGhvZCI6Im5vbmUiLCJwZWVyIjoidnA0LnlvdXJkb21haW4uY29tIiwic25pIjoidnA0LnlvdXJkb21haW4uY29tIn0=</v>
      </c>
      <c r="N5" s="84" t="str">
        <f t="shared" si="7"/>
        <v>trojan://15c2d187-dd1a-403a-a450-ddfbcb929556@vp4.dadfe.edu.cn:443?peer=vp4.yourdomain.com&amp;fp=chrome&amp;sni=vp4.yourdomain.com&amp;alpn=http/1.1#VP4_Trojan</v>
      </c>
      <c r="O5" s="84" t="str">
        <f t="shared" si="8"/>
        <v xml:space="preserve"> vless://15c2d187-dd1a-403a-a450-ddfbcb929556@vp4.dadfe.edu.cn:443?encryption=none&amp;security=tls&amp;fp=chrome&amp;type=tcp&amp;host=vp4.yourdomain.com&amp;headerType=none&amp;sni=vp4.yourdomain.com&amp;flow=xtls-rprx-vision#VP4_VLESS_TLS</v>
      </c>
    </row>
    <row r="6" spans="1:15" x14ac:dyDescent="0.25">
      <c r="A6" s="80">
        <v>5</v>
      </c>
      <c r="B6" s="81" t="str">
        <f>生成UUID!C6</f>
        <v>6c026dff-3464-4737-9416-9b5a014b85fa</v>
      </c>
      <c r="C6" s="83" t="str">
        <f t="shared" si="9"/>
        <v>vp5.yourdomain.com</v>
      </c>
      <c r="D6" s="83" t="str">
        <f t="shared" si="10"/>
        <v>64ffw</v>
      </c>
      <c r="E6" s="123" t="s">
        <v>559</v>
      </c>
      <c r="F6" s="123" t="str">
        <f t="shared" si="0"/>
        <v>vp5.dadfe.edu.cn</v>
      </c>
      <c r="G6" s="124" t="str">
        <f t="shared" si="1"/>
        <v>VP5_VMess_WS = vmess, cf02.e10w.eu.org, 443, username=6c026dff-3464-4737-9416-9b5a014b85fa, ws=true, tls=true, ws-path=/64ffwvws, skip-cert-verify=false, udp-relay=false, vmess-aead=true, ws-headers=Host:vp5.yourdomain.com, sni=vp5.yourdomain.com</v>
      </c>
      <c r="H6" s="125" t="str">
        <f t="shared" si="2"/>
        <v>vless://6c026dff-3464-4737-9416-9b5a014b85fa@vp5.dadfe.edu.cn:4567?encryption=none&amp;security=reality&amp;type=tcp&amp;sni=vp5.yourdomain.com&amp;fp=chrome&amp;pbk=swgXIpGcJF34pYYwjPznkG4jZ6dH8oLaO2ImCbFTMVE&amp;sid=6ba85179e30d4fc2&amp;flow=xtls-rprx-vision#VP5_Reality_TLS</v>
      </c>
      <c r="I6" s="125" t="str">
        <f t="shared" si="3"/>
        <v>vless://6c026dff-3464-4737-9416-9b5a014b85fa@vp5.dadfe.edu.cn:4567?encryption=none&amp;security=reality&amp;type=grpc&amp;sni=vp5.yourdomain.com&amp;fp=chrome&amp;pbk=swgXIpGcJF34pYYwjPznkG4jZ6dH8oLaO2ImCbFTMVE&amp;sid=6ba85179e30d4fc2&amp;path=grpc&amp;serviceName=grpc#VP5_Reality_gRPC</v>
      </c>
      <c r="J6" s="84" t="str">
        <f t="shared" si="4"/>
        <v xml:space="preserve"> vless://6c026dff-3464-4737-9416-9b5a014b85fa@cf02.e10w.eu.org:443?encryption=none&amp;security=tls&amp;type=ws&amp;host=vp5.yourdomain.com&amp;sni=vp5.yourdomain.com&amp;fp=chrome&amp;path=/64ffwws#VP5_VLESS_WS</v>
      </c>
      <c r="K6" s="84" t="str">
        <f t="shared" si="5"/>
        <v>vless://6c026dff-3464-4737-9416-9b5a014b85fa@cf02.e10w.eu.org:443?encryption=none&amp;security=tls&amp;type=grpc&amp;host=vp5.yourdomain.com&amp;path=64ffwgrpc&amp;fp=chrome&amp;serviceName=64ffwgrpc&amp;alpn=h2&amp;sni=vp5.yourdomain.com#VP5_VLESS_gRPC</v>
      </c>
      <c r="L6" s="84" t="str">
        <f t="shared" si="6"/>
        <v>trojan://6c026dff-3464-4737-9416-9b5a014b85fa@cf02.e10w.eu.org:443?encryption=none&amp;peer=vp5.yourdomain.com&amp;fp=chrome&amp;security=tls&amp;type=grpc&amp;sni=vp5.yourdomain.com&amp;alpn=h2&amp;path=64ffwtrojangrpc&amp;serviceName=64ffwtrojangrpc#VP5_Trojan_gRPC</v>
      </c>
      <c r="M6" s="126" t="str" cm="1">
        <f t="array" ref="M6">IF(B6&lt;&gt;"","vmess://"&amp;EncodeBase64("  {""port"":443,""ps"""&amp;":"""&amp;UPPER(LEFT(C6,FIND(".",C6)-1))&amp;"_VMess_WS"",""tls"":""tls"",""id"":"""&amp;B6&amp;""",""aid"":0,""v"":2,""host"":"""&amp;C6&amp;""",""type"":""none"",""path"":""/"&amp;D6&amp;"vws"&amp;""",""net"":""ws"",""add"":"""&amp;F6&amp;""""&amp;","&amp;"""allowInsecure"":0,""method"":""none"",""peer"":"""&amp;C6&amp;""",""sni"":"""&amp;C6&amp;"""}"),"")</f>
        <v>vmess://ICB7InBvcnQiOjQ0MywicHMiOiJWUDVfVk1lc3NfV1MiLCJ0bHMiOiJ0bHMiLCJpZCI6IjZjMDI2ZGZmLTM0NjQtNDczNy05NDE2LTliNWEwMTRiODVmYSIsImFpZCI6MCwidiI6MiwiaG9zdCI6InZwNS55b3VyZG9tYWluLmNvbSIsInR5cGUiOiJub25lIiwicGF0aCI6Ii82NGZmd3Z3cyIsIm5ldCI6IndzIiwiYWRkIjoidnA1LmRhZGZlLmVkdS5jbiIsImFsbG93SW5zZWN1cmUiOjAsIm1ldGhvZCI6Im5vbmUiLCJwZWVyIjoidnA1LnlvdXJkb21haW4uY29tIiwic25pIjoidnA1LnlvdXJkb21haW4uY29tIn0=</v>
      </c>
      <c r="N6" s="84" t="str">
        <f t="shared" si="7"/>
        <v>trojan://6c026dff-3464-4737-9416-9b5a014b85fa@vp5.dadfe.edu.cn:443?peer=vp5.yourdomain.com&amp;fp=chrome&amp;sni=vp5.yourdomain.com&amp;alpn=http/1.1#VP5_Trojan</v>
      </c>
      <c r="O6" s="84" t="str">
        <f t="shared" si="8"/>
        <v xml:space="preserve"> vless://6c026dff-3464-4737-9416-9b5a014b85fa@vp5.dadfe.edu.cn:443?encryption=none&amp;security=tls&amp;fp=chrome&amp;type=tcp&amp;host=vp5.yourdomain.com&amp;headerType=none&amp;sni=vp5.yourdomain.com&amp;flow=xtls-rprx-vision#VP5_VLESS_TLS</v>
      </c>
    </row>
    <row r="7" spans="1:15" x14ac:dyDescent="0.25">
      <c r="A7" s="80">
        <v>6</v>
      </c>
      <c r="B7" s="81" t="str">
        <f>生成UUID!C7</f>
        <v>fb1e92e5-4abf-404f-9234-067284ac145b</v>
      </c>
      <c r="C7" s="83" t="str">
        <f t="shared" si="9"/>
        <v>vp6.yourdomain.com</v>
      </c>
      <c r="D7" s="83" t="str">
        <f t="shared" si="10"/>
        <v>64ffw</v>
      </c>
      <c r="E7" s="123" t="s">
        <v>560</v>
      </c>
      <c r="F7" s="123" t="str">
        <f t="shared" si="0"/>
        <v>vp6.dadfe.edu.cn</v>
      </c>
      <c r="G7" s="124" t="str">
        <f t="shared" si="1"/>
        <v>VP6_VMess_WS = vmess, cf02.e11w.eu.org, 443, username=fb1e92e5-4abf-404f-9234-067284ac145b, ws=true, tls=true, ws-path=/64ffwvws, skip-cert-verify=false, udp-relay=false, vmess-aead=true, ws-headers=Host:vp6.yourdomain.com, sni=vp6.yourdomain.com</v>
      </c>
      <c r="H7" s="125" t="str">
        <f t="shared" si="2"/>
        <v>vless://fb1e92e5-4abf-404f-9234-067284ac145b@vp6.dadfe.edu.cn:4567?encryption=none&amp;security=reality&amp;type=tcp&amp;sni=vp6.yourdomain.com&amp;fp=chrome&amp;pbk=swgXIpGcJF34pYYwjPznkG4jZ6dH8oLaO2ImCbFTMVE&amp;sid=6ba85179e30d4fc2&amp;flow=xtls-rprx-vision#VP6_Reality_TLS</v>
      </c>
      <c r="I7" s="125" t="str">
        <f t="shared" si="3"/>
        <v>vless://fb1e92e5-4abf-404f-9234-067284ac145b@vp6.dadfe.edu.cn:4567?encryption=none&amp;security=reality&amp;type=grpc&amp;sni=vp6.yourdomain.com&amp;fp=chrome&amp;pbk=swgXIpGcJF34pYYwjPznkG4jZ6dH8oLaO2ImCbFTMVE&amp;sid=6ba85179e30d4fc2&amp;path=grpc&amp;serviceName=grpc#VP6_Reality_gRPC</v>
      </c>
      <c r="J7" s="84" t="str">
        <f t="shared" si="4"/>
        <v xml:space="preserve"> vless://fb1e92e5-4abf-404f-9234-067284ac145b@cf02.e11w.eu.org:443?encryption=none&amp;security=tls&amp;type=ws&amp;host=vp6.yourdomain.com&amp;sni=vp6.yourdomain.com&amp;fp=chrome&amp;path=/64ffwws#VP6_VLESS_WS</v>
      </c>
      <c r="K7" s="84" t="str">
        <f t="shared" si="5"/>
        <v>vless://fb1e92e5-4abf-404f-9234-067284ac145b@cf02.e11w.eu.org:443?encryption=none&amp;security=tls&amp;type=grpc&amp;host=vp6.yourdomain.com&amp;path=64ffwgrpc&amp;fp=chrome&amp;serviceName=64ffwgrpc&amp;alpn=h2&amp;sni=vp6.yourdomain.com#VP6_VLESS_gRPC</v>
      </c>
      <c r="L7" s="84" t="str">
        <f t="shared" si="6"/>
        <v>trojan://fb1e92e5-4abf-404f-9234-067284ac145b@cf02.e11w.eu.org:443?encryption=none&amp;peer=vp6.yourdomain.com&amp;fp=chrome&amp;security=tls&amp;type=grpc&amp;sni=vp6.yourdomain.com&amp;alpn=h2&amp;path=64ffwtrojangrpc&amp;serviceName=64ffwtrojangrpc#VP6_Trojan_gRPC</v>
      </c>
      <c r="M7" s="126" t="str" cm="1">
        <f t="array" ref="M7">IF(B7&lt;&gt;"","vmess://"&amp;EncodeBase64("  {""port"":443,""ps"""&amp;":"""&amp;UPPER(LEFT(C7,FIND(".",C7)-1))&amp;"_VMess_WS"",""tls"":""tls"",""id"":"""&amp;B7&amp;""",""aid"":0,""v"":2,""host"":"""&amp;C7&amp;""",""type"":""none"",""path"":""/"&amp;D7&amp;"vws"&amp;""",""net"":""ws"",""add"":"""&amp;F7&amp;""""&amp;","&amp;"""allowInsecure"":0,""method"":""none"",""peer"":"""&amp;C7&amp;""",""sni"":"""&amp;C7&amp;"""}"),"")</f>
        <v>vmess://ICB7InBvcnQiOjQ0MywicHMiOiJWUDZfVk1lc3NfV1MiLCJ0bHMiOiJ0bHMiLCJpZCI6ImZiMWU5MmU1LTRhYmYtNDA0Zi05MjM0LTA2NzI4NGFjMTQ1YiIsImFpZCI6MCwidiI6MiwiaG9zdCI6InZwNi55b3VyZG9tYWluLmNvbSIsInR5cGUiOiJub25lIiwicGF0aCI6Ii82NGZmd3Z3cyIsIm5ldCI6IndzIiwiYWRkIjoidnA2LmRhZGZlLmVkdS5jbiIsImFsbG93SW5zZWN1cmUiOjAsIm1ldGhvZCI6Im5vbmUiLCJwZWVyIjoidnA2LnlvdXJkb21haW4uY29tIiwic25pIjoidnA2LnlvdXJkb21haW4uY29tIn0=</v>
      </c>
      <c r="N7" s="84" t="str">
        <f t="shared" si="7"/>
        <v>trojan://fb1e92e5-4abf-404f-9234-067284ac145b@vp6.dadfe.edu.cn:443?peer=vp6.yourdomain.com&amp;fp=chrome&amp;sni=vp6.yourdomain.com&amp;alpn=http/1.1#VP6_Trojan</v>
      </c>
      <c r="O7" s="84" t="str">
        <f t="shared" si="8"/>
        <v xml:space="preserve"> vless://fb1e92e5-4abf-404f-9234-067284ac145b@vp6.dadfe.edu.cn:443?encryption=none&amp;security=tls&amp;fp=chrome&amp;type=tcp&amp;host=vp6.yourdomain.com&amp;headerType=none&amp;sni=vp6.yourdomain.com&amp;flow=xtls-rprx-vision#VP6_VLESS_TLS</v>
      </c>
    </row>
    <row r="8" spans="1:15" x14ac:dyDescent="0.25">
      <c r="A8" s="80">
        <v>7</v>
      </c>
      <c r="B8" s="81" t="str">
        <f>生成UUID!C8</f>
        <v>516e96cc-bd80-4ce7-bcd2-fea79effabbf</v>
      </c>
      <c r="C8" s="83" t="str">
        <f t="shared" si="9"/>
        <v>vp7.yourdomain.com</v>
      </c>
      <c r="D8" s="83" t="str">
        <f t="shared" si="10"/>
        <v>64ffw</v>
      </c>
      <c r="E8" s="123" t="s">
        <v>561</v>
      </c>
      <c r="F8" s="123" t="str">
        <f t="shared" si="0"/>
        <v>vp7.dadfe.edu.cn</v>
      </c>
      <c r="G8" s="124" t="str">
        <f t="shared" si="1"/>
        <v>VP7_VMess_WS = vmess, cf02.e12w.eu.org, 443, username=516e96cc-bd80-4ce7-bcd2-fea79effabbf, ws=true, tls=true, ws-path=/64ffwvws, skip-cert-verify=false, udp-relay=false, vmess-aead=true, ws-headers=Host:vp7.yourdomain.com, sni=vp7.yourdomain.com</v>
      </c>
      <c r="H8" s="125" t="str">
        <f t="shared" si="2"/>
        <v>vless://516e96cc-bd80-4ce7-bcd2-fea79effabbf@vp7.dadfe.edu.cn:4567?encryption=none&amp;security=reality&amp;type=tcp&amp;sni=vp7.yourdomain.com&amp;fp=chrome&amp;pbk=swgXIpGcJF34pYYwjPznkG4jZ6dH8oLaO2ImCbFTMVE&amp;sid=6ba85179e30d4fc2&amp;flow=xtls-rprx-vision#VP7_Reality_TLS</v>
      </c>
      <c r="I8" s="125" t="str">
        <f t="shared" si="3"/>
        <v>vless://516e96cc-bd80-4ce7-bcd2-fea79effabbf@vp7.dadfe.edu.cn:4567?encryption=none&amp;security=reality&amp;type=grpc&amp;sni=vp7.yourdomain.com&amp;fp=chrome&amp;pbk=swgXIpGcJF34pYYwjPznkG4jZ6dH8oLaO2ImCbFTMVE&amp;sid=6ba85179e30d4fc2&amp;path=grpc&amp;serviceName=grpc#VP7_Reality_gRPC</v>
      </c>
      <c r="J8" s="84" t="str">
        <f t="shared" si="4"/>
        <v xml:space="preserve"> vless://516e96cc-bd80-4ce7-bcd2-fea79effabbf@cf02.e12w.eu.org:443?encryption=none&amp;security=tls&amp;type=ws&amp;host=vp7.yourdomain.com&amp;sni=vp7.yourdomain.com&amp;fp=chrome&amp;path=/64ffwws#VP7_VLESS_WS</v>
      </c>
      <c r="K8" s="84" t="str">
        <f t="shared" si="5"/>
        <v>vless://516e96cc-bd80-4ce7-bcd2-fea79effabbf@cf02.e12w.eu.org:443?encryption=none&amp;security=tls&amp;type=grpc&amp;host=vp7.yourdomain.com&amp;path=64ffwgrpc&amp;fp=chrome&amp;serviceName=64ffwgrpc&amp;alpn=h2&amp;sni=vp7.yourdomain.com#VP7_VLESS_gRPC</v>
      </c>
      <c r="L8" s="84" t="str">
        <f t="shared" si="6"/>
        <v>trojan://516e96cc-bd80-4ce7-bcd2-fea79effabbf@cf02.e12w.eu.org:443?encryption=none&amp;peer=vp7.yourdomain.com&amp;fp=chrome&amp;security=tls&amp;type=grpc&amp;sni=vp7.yourdomain.com&amp;alpn=h2&amp;path=64ffwtrojangrpc&amp;serviceName=64ffwtrojangrpc#VP7_Trojan_gRPC</v>
      </c>
      <c r="M8" s="126" t="str" cm="1">
        <f t="array" ref="M8">IF(B8&lt;&gt;"","vmess://"&amp;EncodeBase64("  {""port"":443,""ps"""&amp;":"""&amp;UPPER(LEFT(C8,FIND(".",C8)-1))&amp;"_VMess_WS"",""tls"":""tls"",""id"":"""&amp;B8&amp;""",""aid"":0,""v"":2,""host"":"""&amp;C8&amp;""",""type"":""none"",""path"":""/"&amp;D8&amp;"vws"&amp;""",""net"":""ws"",""add"":"""&amp;F8&amp;""""&amp;","&amp;"""allowInsecure"":0,""method"":""none"",""peer"":"""&amp;C8&amp;""",""sni"":"""&amp;C8&amp;"""}"),"")</f>
        <v>vmess://ICB7InBvcnQiOjQ0MywicHMiOiJWUDdfVk1lc3NfV1MiLCJ0bHMiOiJ0bHMiLCJpZCI6IjUxNmU5NmNjLWJkODAtNGNlNy1iY2QyLWZlYTc5ZWZmYWJiZiIsImFpZCI6MCwidiI6MiwiaG9zdCI6InZwNy55b3VyZG9tYWluLmNvbSIsInR5cGUiOiJub25lIiwicGF0aCI6Ii82NGZmd3Z3cyIsIm5ldCI6IndzIiwiYWRkIjoidnA3LmRhZGZlLmVkdS5jbiIsImFsbG93SW5zZWN1cmUiOjAsIm1ldGhvZCI6Im5vbmUiLCJwZWVyIjoidnA3LnlvdXJkb21haW4uY29tIiwic25pIjoidnA3LnlvdXJkb21haW4uY29tIn0=</v>
      </c>
      <c r="N8" s="84" t="str">
        <f t="shared" si="7"/>
        <v>trojan://516e96cc-bd80-4ce7-bcd2-fea79effabbf@vp7.dadfe.edu.cn:443?peer=vp7.yourdomain.com&amp;fp=chrome&amp;sni=vp7.yourdomain.com&amp;alpn=http/1.1#VP7_Trojan</v>
      </c>
      <c r="O8" s="84" t="str">
        <f t="shared" si="8"/>
        <v xml:space="preserve"> vless://516e96cc-bd80-4ce7-bcd2-fea79effabbf@vp7.dadfe.edu.cn:443?encryption=none&amp;security=tls&amp;fp=chrome&amp;type=tcp&amp;host=vp7.yourdomain.com&amp;headerType=none&amp;sni=vp7.yourdomain.com&amp;flow=xtls-rprx-vision#VP7_VLESS_TLS</v>
      </c>
    </row>
    <row r="9" spans="1:15" x14ac:dyDescent="0.25">
      <c r="A9" s="80">
        <v>8</v>
      </c>
      <c r="B9" s="81" t="str">
        <f>生成UUID!C9</f>
        <v>9af20f09-1deb-4d65-b548-69a88235d502</v>
      </c>
      <c r="C9" s="83" t="str">
        <f t="shared" si="9"/>
        <v>vp8.yourdomain.com</v>
      </c>
      <c r="D9" s="83" t="str">
        <f t="shared" si="10"/>
        <v>64ffw</v>
      </c>
      <c r="E9" s="123" t="s">
        <v>562</v>
      </c>
      <c r="F9" s="123" t="str">
        <f t="shared" si="0"/>
        <v>vp8.dadfe.edu.cn</v>
      </c>
      <c r="G9" s="124" t="str">
        <f t="shared" si="1"/>
        <v>VP8_VMess_WS = vmess, cf02.e13w.eu.org, 443, username=9af20f09-1deb-4d65-b548-69a88235d502, ws=true, tls=true, ws-path=/64ffwvws, skip-cert-verify=false, udp-relay=false, vmess-aead=true, ws-headers=Host:vp8.yourdomain.com, sni=vp8.yourdomain.com</v>
      </c>
      <c r="H9" s="125" t="str">
        <f t="shared" si="2"/>
        <v>vless://9af20f09-1deb-4d65-b548-69a88235d502@vp8.dadfe.edu.cn:4567?encryption=none&amp;security=reality&amp;type=tcp&amp;sni=vp8.yourdomain.com&amp;fp=chrome&amp;pbk=swgXIpGcJF34pYYwjPznkG4jZ6dH8oLaO2ImCbFTMVE&amp;sid=6ba85179e30d4fc2&amp;flow=xtls-rprx-vision#VP8_Reality_TLS</v>
      </c>
      <c r="I9" s="125" t="str">
        <f t="shared" si="3"/>
        <v>vless://9af20f09-1deb-4d65-b548-69a88235d502@vp8.dadfe.edu.cn:4567?encryption=none&amp;security=reality&amp;type=grpc&amp;sni=vp8.yourdomain.com&amp;fp=chrome&amp;pbk=swgXIpGcJF34pYYwjPznkG4jZ6dH8oLaO2ImCbFTMVE&amp;sid=6ba85179e30d4fc2&amp;path=grpc&amp;serviceName=grpc#VP8_Reality_gRPC</v>
      </c>
      <c r="J9" s="84" t="str">
        <f t="shared" si="4"/>
        <v xml:space="preserve"> vless://9af20f09-1deb-4d65-b548-69a88235d502@cf02.e13w.eu.org:443?encryption=none&amp;security=tls&amp;type=ws&amp;host=vp8.yourdomain.com&amp;sni=vp8.yourdomain.com&amp;fp=chrome&amp;path=/64ffwws#VP8_VLESS_WS</v>
      </c>
      <c r="K9" s="84" t="str">
        <f t="shared" si="5"/>
        <v>vless://9af20f09-1deb-4d65-b548-69a88235d502@cf02.e13w.eu.org:443?encryption=none&amp;security=tls&amp;type=grpc&amp;host=vp8.yourdomain.com&amp;path=64ffwgrpc&amp;fp=chrome&amp;serviceName=64ffwgrpc&amp;alpn=h2&amp;sni=vp8.yourdomain.com#VP8_VLESS_gRPC</v>
      </c>
      <c r="L9" s="84" t="str">
        <f t="shared" si="6"/>
        <v>trojan://9af20f09-1deb-4d65-b548-69a88235d502@cf02.e13w.eu.org:443?encryption=none&amp;peer=vp8.yourdomain.com&amp;fp=chrome&amp;security=tls&amp;type=grpc&amp;sni=vp8.yourdomain.com&amp;alpn=h2&amp;path=64ffwtrojangrpc&amp;serviceName=64ffwtrojangrpc#VP8_Trojan_gRPC</v>
      </c>
      <c r="M9" s="126" t="str" cm="1">
        <f t="array" ref="M9">IF(B9&lt;&gt;"","vmess://"&amp;EncodeBase64("  {""port"":443,""ps"""&amp;":"""&amp;UPPER(LEFT(C9,FIND(".",C9)-1))&amp;"_VMess_WS"",""tls"":""tls"",""id"":"""&amp;B9&amp;""",""aid"":0,""v"":2,""host"":"""&amp;C9&amp;""",""type"":""none"",""path"":""/"&amp;D9&amp;"vws"&amp;""",""net"":""ws"",""add"":"""&amp;F9&amp;""""&amp;","&amp;"""allowInsecure"":0,""method"":""none"",""peer"":"""&amp;C9&amp;""",""sni"":"""&amp;C9&amp;"""}"),"")</f>
        <v>vmess://ICB7InBvcnQiOjQ0MywicHMiOiJWUDhfVk1lc3NfV1MiLCJ0bHMiOiJ0bHMiLCJpZCI6IjlhZjIwZjA5LTFkZWItNGQ2NS1iNTQ4LTY5YTg4MjM1ZDUwMiIsImFpZCI6MCwidiI6MiwiaG9zdCI6InZwOC55b3VyZG9tYWluLmNvbSIsInR5cGUiOiJub25lIiwicGF0aCI6Ii82NGZmd3Z3cyIsIm5ldCI6IndzIiwiYWRkIjoidnA4LmRhZGZlLmVkdS5jbiIsImFsbG93SW5zZWN1cmUiOjAsIm1ldGhvZCI6Im5vbmUiLCJwZWVyIjoidnA4LnlvdXJkb21haW4uY29tIiwic25pIjoidnA4LnlvdXJkb21haW4uY29tIn0=</v>
      </c>
      <c r="N9" s="84" t="str">
        <f t="shared" si="7"/>
        <v>trojan://9af20f09-1deb-4d65-b548-69a88235d502@vp8.dadfe.edu.cn:443?peer=vp8.yourdomain.com&amp;fp=chrome&amp;sni=vp8.yourdomain.com&amp;alpn=http/1.1#VP8_Trojan</v>
      </c>
      <c r="O9" s="84" t="str">
        <f t="shared" si="8"/>
        <v xml:space="preserve"> vless://9af20f09-1deb-4d65-b548-69a88235d502@vp8.dadfe.edu.cn:443?encryption=none&amp;security=tls&amp;fp=chrome&amp;type=tcp&amp;host=vp8.yourdomain.com&amp;headerType=none&amp;sni=vp8.yourdomain.com&amp;flow=xtls-rprx-vision#VP8_VLESS_TLS</v>
      </c>
    </row>
    <row r="10" spans="1:15" x14ac:dyDescent="0.25">
      <c r="A10" s="80">
        <v>9</v>
      </c>
      <c r="B10" s="81" t="str">
        <f>生成UUID!C10</f>
        <v>cfef338c-1622-49f3-90e2-55a2b3a9ce4c</v>
      </c>
      <c r="C10" s="83" t="str">
        <f t="shared" si="9"/>
        <v>vp9.yourdomain.com</v>
      </c>
      <c r="D10" s="83" t="str">
        <f t="shared" si="10"/>
        <v>64ffw</v>
      </c>
      <c r="E10" s="123" t="s">
        <v>563</v>
      </c>
      <c r="F10" s="123" t="str">
        <f t="shared" si="0"/>
        <v>vp9.dadfe.edu.cn</v>
      </c>
      <c r="G10" s="124" t="str">
        <f t="shared" si="1"/>
        <v>VP9_VMess_WS = vmess, cf02.e14w.eu.org, 443, username=cfef338c-1622-49f3-90e2-55a2b3a9ce4c, ws=true, tls=true, ws-path=/64ffwvws, skip-cert-verify=false, udp-relay=false, vmess-aead=true, ws-headers=Host:vp9.yourdomain.com, sni=vp9.yourdomain.com</v>
      </c>
      <c r="H10" s="125" t="str">
        <f t="shared" si="2"/>
        <v>vless://cfef338c-1622-49f3-90e2-55a2b3a9ce4c@vp9.dadfe.edu.cn:4567?encryption=none&amp;security=reality&amp;type=tcp&amp;sni=vp9.yourdomain.com&amp;fp=chrome&amp;pbk=swgXIpGcJF34pYYwjPznkG4jZ6dH8oLaO2ImCbFTMVE&amp;sid=6ba85179e30d4fc2&amp;flow=xtls-rprx-vision#VP9_Reality_TLS</v>
      </c>
      <c r="I10" s="125" t="str">
        <f t="shared" si="3"/>
        <v>vless://cfef338c-1622-49f3-90e2-55a2b3a9ce4c@vp9.dadfe.edu.cn:4567?encryption=none&amp;security=reality&amp;type=grpc&amp;sni=vp9.yourdomain.com&amp;fp=chrome&amp;pbk=swgXIpGcJF34pYYwjPznkG4jZ6dH8oLaO2ImCbFTMVE&amp;sid=6ba85179e30d4fc2&amp;path=grpc&amp;serviceName=grpc#VP9_Reality_gRPC</v>
      </c>
      <c r="J10" s="84" t="str">
        <f t="shared" si="4"/>
        <v xml:space="preserve"> vless://cfef338c-1622-49f3-90e2-55a2b3a9ce4c@cf02.e14w.eu.org:443?encryption=none&amp;security=tls&amp;type=ws&amp;host=vp9.yourdomain.com&amp;sni=vp9.yourdomain.com&amp;fp=chrome&amp;path=/64ffwws#VP9_VLESS_WS</v>
      </c>
      <c r="K10" s="84" t="str">
        <f t="shared" si="5"/>
        <v>vless://cfef338c-1622-49f3-90e2-55a2b3a9ce4c@cf02.e14w.eu.org:443?encryption=none&amp;security=tls&amp;type=grpc&amp;host=vp9.yourdomain.com&amp;path=64ffwgrpc&amp;fp=chrome&amp;serviceName=64ffwgrpc&amp;alpn=h2&amp;sni=vp9.yourdomain.com#VP9_VLESS_gRPC</v>
      </c>
      <c r="L10" s="84" t="str">
        <f t="shared" si="6"/>
        <v>trojan://cfef338c-1622-49f3-90e2-55a2b3a9ce4c@cf02.e14w.eu.org:443?encryption=none&amp;peer=vp9.yourdomain.com&amp;fp=chrome&amp;security=tls&amp;type=grpc&amp;sni=vp9.yourdomain.com&amp;alpn=h2&amp;path=64ffwtrojangrpc&amp;serviceName=64ffwtrojangrpc#VP9_Trojan_gRPC</v>
      </c>
      <c r="M10" s="126" t="str" cm="1">
        <f t="array" ref="M10">IF(B10&lt;&gt;"","vmess://"&amp;EncodeBase64("  {""port"":443,""ps"""&amp;":"""&amp;UPPER(LEFT(C10,FIND(".",C10)-1))&amp;"_VMess_WS"",""tls"":""tls"",""id"":"""&amp;B10&amp;""",""aid"":0,""v"":2,""host"":"""&amp;C10&amp;""",""type"":""none"",""path"":""/"&amp;D10&amp;"vws"&amp;""",""net"":""ws"",""add"":"""&amp;F10&amp;""""&amp;","&amp;"""allowInsecure"":0,""method"":""none"",""peer"":"""&amp;C10&amp;""",""sni"":"""&amp;C10&amp;"""}"),"")</f>
        <v>vmess://ICB7InBvcnQiOjQ0MywicHMiOiJWUDlfVk1lc3NfV1MiLCJ0bHMiOiJ0bHMiLCJpZCI6ImNmZWYzMzhjLTE2MjItNDlmMy05MGUyLTU1YTJiM2E5Y2U0YyIsImFpZCI6MCwidiI6MiwiaG9zdCI6InZwOS55b3VyZG9tYWluLmNvbSIsInR5cGUiOiJub25lIiwicGF0aCI6Ii82NGZmd3Z3cyIsIm5ldCI6IndzIiwiYWRkIjoidnA5LmRhZGZlLmVkdS5jbiIsImFsbG93SW5zZWN1cmUiOjAsIm1ldGhvZCI6Im5vbmUiLCJwZWVyIjoidnA5LnlvdXJkb21haW4uY29tIiwic25pIjoidnA5LnlvdXJkb21haW4uY29tIn0=</v>
      </c>
      <c r="N10" s="84" t="str">
        <f t="shared" si="7"/>
        <v>trojan://cfef338c-1622-49f3-90e2-55a2b3a9ce4c@vp9.dadfe.edu.cn:443?peer=vp9.yourdomain.com&amp;fp=chrome&amp;sni=vp9.yourdomain.com&amp;alpn=http/1.1#VP9_Trojan</v>
      </c>
      <c r="O10" s="84" t="str">
        <f t="shared" si="8"/>
        <v xml:space="preserve"> vless://cfef338c-1622-49f3-90e2-55a2b3a9ce4c@vp9.dadfe.edu.cn:443?encryption=none&amp;security=tls&amp;fp=chrome&amp;type=tcp&amp;host=vp9.yourdomain.com&amp;headerType=none&amp;sni=vp9.yourdomain.com&amp;flow=xtls-rprx-vision#VP9_VLESS_TLS</v>
      </c>
    </row>
    <row r="11" spans="1:15" x14ac:dyDescent="0.25">
      <c r="A11" s="80">
        <v>10</v>
      </c>
      <c r="B11" s="81" t="str">
        <f>生成UUID!C11</f>
        <v>1fe8a7ed-4592-419f-af29-42e29a1cac09</v>
      </c>
      <c r="C11" s="83" t="str">
        <f t="shared" si="9"/>
        <v>vp10.yourdomain.com</v>
      </c>
      <c r="D11" s="83" t="str">
        <f t="shared" si="10"/>
        <v>64ffw</v>
      </c>
      <c r="E11" s="123" t="s">
        <v>564</v>
      </c>
      <c r="F11" s="123" t="str">
        <f t="shared" si="0"/>
        <v>vp10.dadfe.edu.cn</v>
      </c>
      <c r="G11" s="124" t="str">
        <f t="shared" si="1"/>
        <v>VP10_VMess_WS = vmess, cf02.e15w.eu.org, 443, username=1fe8a7ed-4592-419f-af29-42e29a1cac09, ws=true, tls=true, ws-path=/64ffwvws, skip-cert-verify=false, udp-relay=false, vmess-aead=true, ws-headers=Host:vp10.yourdomain.com, sni=vp10.yourdomain.com</v>
      </c>
      <c r="H11" s="125" t="str">
        <f t="shared" si="2"/>
        <v>vless://1fe8a7ed-4592-419f-af29-42e29a1cac09@vp10.dadfe.edu.cn:4567?encryption=none&amp;security=reality&amp;type=tcp&amp;sni=vp10.yourdomain.com&amp;fp=chrome&amp;pbk=swgXIpGcJF34pYYwjPznkG4jZ6dH8oLaO2ImCbFTMVE&amp;sid=6ba85179e30d4fc2&amp;flow=xtls-rprx-vision#VP10_Reality_TLS</v>
      </c>
      <c r="I11" s="125" t="str">
        <f t="shared" si="3"/>
        <v>vless://1fe8a7ed-4592-419f-af29-42e29a1cac09@vp10.dadfe.edu.cn:4567?encryption=none&amp;security=reality&amp;type=grpc&amp;sni=vp10.yourdomain.com&amp;fp=chrome&amp;pbk=swgXIpGcJF34pYYwjPznkG4jZ6dH8oLaO2ImCbFTMVE&amp;sid=6ba85179e30d4fc2&amp;path=grpc&amp;serviceName=grpc#VP10_Reality_gRPC</v>
      </c>
      <c r="J11" s="84" t="str">
        <f t="shared" si="4"/>
        <v xml:space="preserve"> vless://1fe8a7ed-4592-419f-af29-42e29a1cac09@cf02.e15w.eu.org:443?encryption=none&amp;security=tls&amp;type=ws&amp;host=vp10.yourdomain.com&amp;sni=vp10.yourdomain.com&amp;fp=chrome&amp;path=/64ffwws#VP10_VLESS_WS</v>
      </c>
      <c r="K11" s="84" t="str">
        <f t="shared" si="5"/>
        <v>vless://1fe8a7ed-4592-419f-af29-42e29a1cac09@cf02.e15w.eu.org:443?encryption=none&amp;security=tls&amp;type=grpc&amp;host=vp10.yourdomain.com&amp;path=64ffwgrpc&amp;fp=chrome&amp;serviceName=64ffwgrpc&amp;alpn=h2&amp;sni=vp10.yourdomain.com#VP10_VLESS_gRPC</v>
      </c>
      <c r="L11" s="84" t="str">
        <f t="shared" si="6"/>
        <v>trojan://1fe8a7ed-4592-419f-af29-42e29a1cac09@cf02.e15w.eu.org:443?encryption=none&amp;peer=vp10.yourdomain.com&amp;fp=chrome&amp;security=tls&amp;type=grpc&amp;sni=vp10.yourdomain.com&amp;alpn=h2&amp;path=64ffwtrojangrpc&amp;serviceName=64ffwtrojangrpc#VP10_Trojan_gRPC</v>
      </c>
      <c r="M11" s="126" t="str" cm="1">
        <f t="array" ref="M11">IF(B11&lt;&gt;"","vmess://"&amp;EncodeBase64("  {""port"":443,""ps"""&amp;":"""&amp;UPPER(LEFT(C11,FIND(".",C11)-1))&amp;"_VMess_WS"",""tls"":""tls"",""id"":"""&amp;B11&amp;""",""aid"":0,""v"":2,""host"":"""&amp;C11&amp;""",""type"":""none"",""path"":""/"&amp;D11&amp;"vws"&amp;""",""net"":""ws"",""add"":"""&amp;F11&amp;""""&amp;","&amp;"""allowInsecure"":0,""method"":""none"",""peer"":"""&amp;C11&amp;""",""sni"":"""&amp;C11&amp;"""}"),"")</f>
        <v>vmess://ICB7InBvcnQiOjQ0MywicHMiOiJWUDEwX1ZNZXNzX1dTIiwidGxzIjoidGxzIiwiaWQiOiIxZmU4YTdlZC00NTkyLTQxOWYtYWYyOS00MmUyOWExY2FjMDkiLCJhaWQiOjAsInYiOjIsImhvc3QiOiJ2cDEwLnlvdXJkb21haW4uY29tIiwidHlwZSI6Im5vbmUiLCJwYXRoIjoiLzY0ZmZ3dndzIiwibmV0Ijoid3MiLCJhZGQiOiJ2cDEwLmRhZGZlLmVkdS5jbiIsImFsbG93SW5zZWN1cmUiOjAsIm1ldGhvZCI6Im5vbmUiLCJwZWVyIjoidnAxMC55b3VyZG9tYWluLmNvbSIsInNuaSI6InZwMTAueW91cmRvbWFpbi5jb20ifQ==</v>
      </c>
      <c r="N11" s="84" t="str">
        <f t="shared" si="7"/>
        <v>trojan://1fe8a7ed-4592-419f-af29-42e29a1cac09@vp10.dadfe.edu.cn:443?peer=vp10.yourdomain.com&amp;fp=chrome&amp;sni=vp10.yourdomain.com&amp;alpn=http/1.1#VP10_Trojan</v>
      </c>
      <c r="O11" s="84" t="str">
        <f t="shared" si="8"/>
        <v xml:space="preserve"> vless://1fe8a7ed-4592-419f-af29-42e29a1cac09@vp10.dadfe.edu.cn:443?encryption=none&amp;security=tls&amp;fp=chrome&amp;type=tcp&amp;host=vp10.yourdomain.com&amp;headerType=none&amp;sni=vp10.yourdomain.com&amp;flow=xtls-rprx-vision#VP10_VLESS_TLS</v>
      </c>
    </row>
    <row r="12" spans="1:15" x14ac:dyDescent="0.25">
      <c r="A12" s="80">
        <v>11</v>
      </c>
      <c r="B12" s="81" t="str">
        <f>生成UUID!C12</f>
        <v>2a30f75a-3dae-4f3a-a616-4869d9554622</v>
      </c>
      <c r="C12" s="83" t="str">
        <f t="shared" si="9"/>
        <v>vp11.yourdomain.com</v>
      </c>
      <c r="D12" s="83" t="str">
        <f t="shared" si="10"/>
        <v>64ffw</v>
      </c>
      <c r="E12" s="123" t="s">
        <v>565</v>
      </c>
      <c r="F12" s="123" t="str">
        <f t="shared" si="0"/>
        <v>vp11.dadfe.edu.cn</v>
      </c>
      <c r="G12" s="124" t="str">
        <f t="shared" si="1"/>
        <v>VP11_VMess_WS = vmess, cf02.e16w.eu.org, 443, username=2a30f75a-3dae-4f3a-a616-4869d9554622, ws=true, tls=true, ws-path=/64ffwvws, skip-cert-verify=false, udp-relay=false, vmess-aead=true, ws-headers=Host:vp11.yourdomain.com, sni=vp11.yourdomain.com</v>
      </c>
      <c r="H12" s="125" t="str">
        <f t="shared" si="2"/>
        <v>vless://2a30f75a-3dae-4f3a-a616-4869d9554622@vp11.dadfe.edu.cn:4567?encryption=none&amp;security=reality&amp;type=tcp&amp;sni=vp11.yourdomain.com&amp;fp=chrome&amp;pbk=swgXIpGcJF34pYYwjPznkG4jZ6dH8oLaO2ImCbFTMVE&amp;sid=6ba85179e30d4fc2&amp;flow=xtls-rprx-vision#VP11_Reality_TLS</v>
      </c>
      <c r="I12" s="125" t="str">
        <f t="shared" si="3"/>
        <v>vless://2a30f75a-3dae-4f3a-a616-4869d9554622@vp11.dadfe.edu.cn:4567?encryption=none&amp;security=reality&amp;type=grpc&amp;sni=vp11.yourdomain.com&amp;fp=chrome&amp;pbk=swgXIpGcJF34pYYwjPznkG4jZ6dH8oLaO2ImCbFTMVE&amp;sid=6ba85179e30d4fc2&amp;path=grpc&amp;serviceName=grpc#VP11_Reality_gRPC</v>
      </c>
      <c r="J12" s="84" t="str">
        <f t="shared" si="4"/>
        <v xml:space="preserve"> vless://2a30f75a-3dae-4f3a-a616-4869d9554622@cf02.e16w.eu.org:443?encryption=none&amp;security=tls&amp;type=ws&amp;host=vp11.yourdomain.com&amp;sni=vp11.yourdomain.com&amp;fp=chrome&amp;path=/64ffwws#VP11_VLESS_WS</v>
      </c>
      <c r="K12" s="84" t="str">
        <f t="shared" si="5"/>
        <v>vless://2a30f75a-3dae-4f3a-a616-4869d9554622@cf02.e16w.eu.org:443?encryption=none&amp;security=tls&amp;type=grpc&amp;host=vp11.yourdomain.com&amp;path=64ffwgrpc&amp;fp=chrome&amp;serviceName=64ffwgrpc&amp;alpn=h2&amp;sni=vp11.yourdomain.com#VP11_VLESS_gRPC</v>
      </c>
      <c r="L12" s="84" t="str">
        <f t="shared" si="6"/>
        <v>trojan://2a30f75a-3dae-4f3a-a616-4869d9554622@cf02.e16w.eu.org:443?encryption=none&amp;peer=vp11.yourdomain.com&amp;fp=chrome&amp;security=tls&amp;type=grpc&amp;sni=vp11.yourdomain.com&amp;alpn=h2&amp;path=64ffwtrojangrpc&amp;serviceName=64ffwtrojangrpc#VP11_Trojan_gRPC</v>
      </c>
      <c r="M12" s="126" t="str" cm="1">
        <f t="array" ref="M12">IF(B12&lt;&gt;"","vmess://"&amp;EncodeBase64("  {""port"":443,""ps"""&amp;":"""&amp;UPPER(LEFT(C12,FIND(".",C12)-1))&amp;"_VMess_WS"",""tls"":""tls"",""id"":"""&amp;B12&amp;""",""aid"":0,""v"":2,""host"":"""&amp;C12&amp;""",""type"":""none"",""path"":""/"&amp;D12&amp;"vws"&amp;""",""net"":""ws"",""add"":"""&amp;F12&amp;""""&amp;","&amp;"""allowInsecure"":0,""method"":""none"",""peer"":"""&amp;C12&amp;""",""sni"":"""&amp;C12&amp;"""}"),"")</f>
        <v>vmess://ICB7InBvcnQiOjQ0MywicHMiOiJWUDExX1ZNZXNzX1dTIiwidGxzIjoidGxzIiwiaWQiOiIyYTMwZjc1YS0zZGFlLTRmM2EtYTYxNi00ODY5ZDk1NTQ2MjIiLCJhaWQiOjAsInYiOjIsImhvc3QiOiJ2cDExLnlvdXJkb21haW4uY29tIiwidHlwZSI6Im5vbmUiLCJwYXRoIjoiLzY0ZmZ3dndzIiwibmV0Ijoid3MiLCJhZGQiOiJ2cDExLmRhZGZlLmVkdS5jbiIsImFsbG93SW5zZWN1cmUiOjAsIm1ldGhvZCI6Im5vbmUiLCJwZWVyIjoidnAxMS55b3VyZG9tYWluLmNvbSIsInNuaSI6InZwMTEueW91cmRvbWFpbi5jb20ifQ==</v>
      </c>
      <c r="N12" s="84" t="str">
        <f t="shared" si="7"/>
        <v>trojan://2a30f75a-3dae-4f3a-a616-4869d9554622@vp11.dadfe.edu.cn:443?peer=vp11.yourdomain.com&amp;fp=chrome&amp;sni=vp11.yourdomain.com&amp;alpn=http/1.1#VP11_Trojan</v>
      </c>
      <c r="O12" s="84" t="str">
        <f t="shared" si="8"/>
        <v xml:space="preserve"> vless://2a30f75a-3dae-4f3a-a616-4869d9554622@vp11.dadfe.edu.cn:443?encryption=none&amp;security=tls&amp;fp=chrome&amp;type=tcp&amp;host=vp11.yourdomain.com&amp;headerType=none&amp;sni=vp11.yourdomain.com&amp;flow=xtls-rprx-vision#VP11_VLESS_TLS</v>
      </c>
    </row>
    <row r="13" spans="1:15" x14ac:dyDescent="0.25">
      <c r="A13" s="80">
        <v>12</v>
      </c>
      <c r="B13" s="81" t="str">
        <f>生成UUID!C13</f>
        <v>734e3489-2992-49ac-adb4-1194ee679bb9</v>
      </c>
      <c r="C13" s="83" t="str">
        <f t="shared" si="9"/>
        <v>vp12.yourdomain.com</v>
      </c>
      <c r="D13" s="83" t="str">
        <f t="shared" si="10"/>
        <v>64ffw</v>
      </c>
      <c r="E13" s="123" t="s">
        <v>566</v>
      </c>
      <c r="F13" s="123" t="str">
        <f t="shared" si="0"/>
        <v>vp12.dadfe.edu.cn</v>
      </c>
      <c r="G13" s="124" t="str">
        <f t="shared" si="1"/>
        <v>VP12_VMess_WS = vmess, cf02.e17w.eu.org, 443, username=734e3489-2992-49ac-adb4-1194ee679bb9, ws=true, tls=true, ws-path=/64ffwvws, skip-cert-verify=false, udp-relay=false, vmess-aead=true, ws-headers=Host:vp12.yourdomain.com, sni=vp12.yourdomain.com</v>
      </c>
      <c r="H13" s="125" t="str">
        <f t="shared" si="2"/>
        <v>vless://734e3489-2992-49ac-adb4-1194ee679bb9@vp12.dadfe.edu.cn:4567?encryption=none&amp;security=reality&amp;type=tcp&amp;sni=vp12.yourdomain.com&amp;fp=chrome&amp;pbk=swgXIpGcJF34pYYwjPznkG4jZ6dH8oLaO2ImCbFTMVE&amp;sid=6ba85179e30d4fc2&amp;flow=xtls-rprx-vision#VP12_Reality_TLS</v>
      </c>
      <c r="I13" s="125" t="str">
        <f t="shared" si="3"/>
        <v>vless://734e3489-2992-49ac-adb4-1194ee679bb9@vp12.dadfe.edu.cn:4567?encryption=none&amp;security=reality&amp;type=grpc&amp;sni=vp12.yourdomain.com&amp;fp=chrome&amp;pbk=swgXIpGcJF34pYYwjPznkG4jZ6dH8oLaO2ImCbFTMVE&amp;sid=6ba85179e30d4fc2&amp;path=grpc&amp;serviceName=grpc#VP12_Reality_gRPC</v>
      </c>
      <c r="J13" s="84" t="str">
        <f t="shared" si="4"/>
        <v xml:space="preserve"> vless://734e3489-2992-49ac-adb4-1194ee679bb9@cf02.e17w.eu.org:443?encryption=none&amp;security=tls&amp;type=ws&amp;host=vp12.yourdomain.com&amp;sni=vp12.yourdomain.com&amp;fp=chrome&amp;path=/64ffwws#VP12_VLESS_WS</v>
      </c>
      <c r="K13" s="84" t="str">
        <f t="shared" si="5"/>
        <v>vless://734e3489-2992-49ac-adb4-1194ee679bb9@cf02.e17w.eu.org:443?encryption=none&amp;security=tls&amp;type=grpc&amp;host=vp12.yourdomain.com&amp;path=64ffwgrpc&amp;fp=chrome&amp;serviceName=64ffwgrpc&amp;alpn=h2&amp;sni=vp12.yourdomain.com#VP12_VLESS_gRPC</v>
      </c>
      <c r="L13" s="84" t="str">
        <f t="shared" si="6"/>
        <v>trojan://734e3489-2992-49ac-adb4-1194ee679bb9@cf02.e17w.eu.org:443?encryption=none&amp;peer=vp12.yourdomain.com&amp;fp=chrome&amp;security=tls&amp;type=grpc&amp;sni=vp12.yourdomain.com&amp;alpn=h2&amp;path=64ffwtrojangrpc&amp;serviceName=64ffwtrojangrpc#VP12_Trojan_gRPC</v>
      </c>
      <c r="M13" s="126" t="str" cm="1">
        <f t="array" ref="M13">IF(B13&lt;&gt;"","vmess://"&amp;EncodeBase64("  {""port"":443,""ps"""&amp;":"""&amp;UPPER(LEFT(C13,FIND(".",C13)-1))&amp;"_VMess_WS"",""tls"":""tls"",""id"":"""&amp;B13&amp;""",""aid"":0,""v"":2,""host"":"""&amp;C13&amp;""",""type"":""none"",""path"":""/"&amp;D13&amp;"vws"&amp;""",""net"":""ws"",""add"":"""&amp;F13&amp;""""&amp;","&amp;"""allowInsecure"":0,""method"":""none"",""peer"":"""&amp;C13&amp;""",""sni"":"""&amp;C13&amp;"""}"),"")</f>
        <v>vmess://ICB7InBvcnQiOjQ0MywicHMiOiJWUDEyX1ZNZXNzX1dTIiwidGxzIjoidGxzIiwiaWQiOiI3MzRlMzQ4OS0yOTkyLTQ5YWMtYWRiNC0xMTk0ZWU2NzliYjkiLCJhaWQiOjAsInYiOjIsImhvc3QiOiJ2cDEyLnlvdXJkb21haW4uY29tIiwidHlwZSI6Im5vbmUiLCJwYXRoIjoiLzY0ZmZ3dndzIiwibmV0Ijoid3MiLCJhZGQiOiJ2cDEyLmRhZGZlLmVkdS5jbiIsImFsbG93SW5zZWN1cmUiOjAsIm1ldGhvZCI6Im5vbmUiLCJwZWVyIjoidnAxMi55b3VyZG9tYWluLmNvbSIsInNuaSI6InZwMTIueW91cmRvbWFpbi5jb20ifQ==</v>
      </c>
      <c r="N13" s="84" t="str">
        <f t="shared" si="7"/>
        <v>trojan://734e3489-2992-49ac-adb4-1194ee679bb9@vp12.dadfe.edu.cn:443?peer=vp12.yourdomain.com&amp;fp=chrome&amp;sni=vp12.yourdomain.com&amp;alpn=http/1.1#VP12_Trojan</v>
      </c>
      <c r="O13" s="84" t="str">
        <f t="shared" si="8"/>
        <v xml:space="preserve"> vless://734e3489-2992-49ac-adb4-1194ee679bb9@vp12.dadfe.edu.cn:443?encryption=none&amp;security=tls&amp;fp=chrome&amp;type=tcp&amp;host=vp12.yourdomain.com&amp;headerType=none&amp;sni=vp12.yourdomain.com&amp;flow=xtls-rprx-vision#VP12_VLESS_TLS</v>
      </c>
    </row>
    <row r="14" spans="1:15" x14ac:dyDescent="0.25">
      <c r="A14" s="80">
        <v>13</v>
      </c>
      <c r="B14" s="81" t="str">
        <f>生成UUID!C14</f>
        <v>e3dbab35-ce51-469c-abc9-bde1755ff003</v>
      </c>
      <c r="C14" s="83" t="str">
        <f t="shared" si="9"/>
        <v>vp13.yourdomain.com</v>
      </c>
      <c r="D14" s="83" t="str">
        <f t="shared" si="10"/>
        <v>64ffw</v>
      </c>
      <c r="E14" s="123" t="s">
        <v>567</v>
      </c>
      <c r="F14" s="123" t="str">
        <f t="shared" si="0"/>
        <v>vp13.dadfe.edu.cn</v>
      </c>
      <c r="G14" s="124" t="str">
        <f t="shared" si="1"/>
        <v>VP13_VMess_WS = vmess, cf02.e18w.eu.org, 443, username=e3dbab35-ce51-469c-abc9-bde1755ff003, ws=true, tls=true, ws-path=/64ffwvws, skip-cert-verify=false, udp-relay=false, vmess-aead=true, ws-headers=Host:vp13.yourdomain.com, sni=vp13.yourdomain.com</v>
      </c>
      <c r="H14" s="125" t="str">
        <f t="shared" si="2"/>
        <v>vless://e3dbab35-ce51-469c-abc9-bde1755ff003@vp13.dadfe.edu.cn:4567?encryption=none&amp;security=reality&amp;type=tcp&amp;sni=vp13.yourdomain.com&amp;fp=chrome&amp;pbk=swgXIpGcJF34pYYwjPznkG4jZ6dH8oLaO2ImCbFTMVE&amp;sid=6ba85179e30d4fc2&amp;flow=xtls-rprx-vision#VP13_Reality_TLS</v>
      </c>
      <c r="I14" s="125" t="str">
        <f t="shared" si="3"/>
        <v>vless://e3dbab35-ce51-469c-abc9-bde1755ff003@vp13.dadfe.edu.cn:4567?encryption=none&amp;security=reality&amp;type=grpc&amp;sni=vp13.yourdomain.com&amp;fp=chrome&amp;pbk=swgXIpGcJF34pYYwjPznkG4jZ6dH8oLaO2ImCbFTMVE&amp;sid=6ba85179e30d4fc2&amp;path=grpc&amp;serviceName=grpc#VP13_Reality_gRPC</v>
      </c>
      <c r="J14" s="84" t="str">
        <f t="shared" si="4"/>
        <v xml:space="preserve"> vless://e3dbab35-ce51-469c-abc9-bde1755ff003@cf02.e18w.eu.org:443?encryption=none&amp;security=tls&amp;type=ws&amp;host=vp13.yourdomain.com&amp;sni=vp13.yourdomain.com&amp;fp=chrome&amp;path=/64ffwws#VP13_VLESS_WS</v>
      </c>
      <c r="K14" s="84" t="str">
        <f t="shared" si="5"/>
        <v>vless://e3dbab35-ce51-469c-abc9-bde1755ff003@cf02.e18w.eu.org:443?encryption=none&amp;security=tls&amp;type=grpc&amp;host=vp13.yourdomain.com&amp;path=64ffwgrpc&amp;fp=chrome&amp;serviceName=64ffwgrpc&amp;alpn=h2&amp;sni=vp13.yourdomain.com#VP13_VLESS_gRPC</v>
      </c>
      <c r="L14" s="84" t="str">
        <f t="shared" si="6"/>
        <v>trojan://e3dbab35-ce51-469c-abc9-bde1755ff003@cf02.e18w.eu.org:443?encryption=none&amp;peer=vp13.yourdomain.com&amp;fp=chrome&amp;security=tls&amp;type=grpc&amp;sni=vp13.yourdomain.com&amp;alpn=h2&amp;path=64ffwtrojangrpc&amp;serviceName=64ffwtrojangrpc#VP13_Trojan_gRPC</v>
      </c>
      <c r="M14" s="126" t="str" cm="1">
        <f t="array" ref="M14">IF(B14&lt;&gt;"","vmess://"&amp;EncodeBase64("  {""port"":443,""ps"""&amp;":"""&amp;UPPER(LEFT(C14,FIND(".",C14)-1))&amp;"_VMess_WS"",""tls"":""tls"",""id"":"""&amp;B14&amp;""",""aid"":0,""v"":2,""host"":"""&amp;C14&amp;""",""type"":""none"",""path"":""/"&amp;D14&amp;"vws"&amp;""",""net"":""ws"",""add"":"""&amp;F14&amp;""""&amp;","&amp;"""allowInsecure"":0,""method"":""none"",""peer"":"""&amp;C14&amp;""",""sni"":"""&amp;C14&amp;"""}"),"")</f>
        <v>vmess://ICB7InBvcnQiOjQ0MywicHMiOiJWUDEzX1ZNZXNzX1dTIiwidGxzIjoidGxzIiwiaWQiOiJlM2RiYWIzNS1jZTUxLTQ2OWMtYWJjOS1iZGUxNzU1ZmYwMDMiLCJhaWQiOjAsInYiOjIsImhvc3QiOiJ2cDEzLnlvdXJkb21haW4uY29tIiwidHlwZSI6Im5vbmUiLCJwYXRoIjoiLzY0ZmZ3dndzIiwibmV0Ijoid3MiLCJhZGQiOiJ2cDEzLmRhZGZlLmVkdS5jbiIsImFsbG93SW5zZWN1cmUiOjAsIm1ldGhvZCI6Im5vbmUiLCJwZWVyIjoidnAxMy55b3VyZG9tYWluLmNvbSIsInNuaSI6InZwMTMueW91cmRvbWFpbi5jb20ifQ==</v>
      </c>
      <c r="N14" s="84" t="str">
        <f t="shared" si="7"/>
        <v>trojan://e3dbab35-ce51-469c-abc9-bde1755ff003@vp13.dadfe.edu.cn:443?peer=vp13.yourdomain.com&amp;fp=chrome&amp;sni=vp13.yourdomain.com&amp;alpn=http/1.1#VP13_Trojan</v>
      </c>
      <c r="O14" s="84" t="str">
        <f t="shared" si="8"/>
        <v xml:space="preserve"> vless://e3dbab35-ce51-469c-abc9-bde1755ff003@vp13.dadfe.edu.cn:443?encryption=none&amp;security=tls&amp;fp=chrome&amp;type=tcp&amp;host=vp13.yourdomain.com&amp;headerType=none&amp;sni=vp13.yourdomain.com&amp;flow=xtls-rprx-vision#VP13_VLESS_TLS</v>
      </c>
    </row>
    <row r="15" spans="1:15" x14ac:dyDescent="0.25">
      <c r="A15" s="80">
        <v>14</v>
      </c>
      <c r="B15" s="81" t="str">
        <f>生成UUID!C15</f>
        <v>60780c50-8c0e-40a3-b13f-9ae789445b74</v>
      </c>
      <c r="C15" s="83" t="str">
        <f t="shared" si="9"/>
        <v>vp14.yourdomain.com</v>
      </c>
      <c r="D15" s="83" t="str">
        <f t="shared" si="10"/>
        <v>64ffw</v>
      </c>
      <c r="E15" s="123" t="s">
        <v>568</v>
      </c>
      <c r="F15" s="123" t="str">
        <f t="shared" si="0"/>
        <v>vp14.dadfe.edu.cn</v>
      </c>
      <c r="G15" s="124" t="str">
        <f t="shared" si="1"/>
        <v>VP14_VMess_WS = vmess, cf02.e19w.eu.org, 443, username=60780c50-8c0e-40a3-b13f-9ae789445b74, ws=true, tls=true, ws-path=/64ffwvws, skip-cert-verify=false, udp-relay=false, vmess-aead=true, ws-headers=Host:vp14.yourdomain.com, sni=vp14.yourdomain.com</v>
      </c>
      <c r="H15" s="125" t="str">
        <f t="shared" si="2"/>
        <v>vless://60780c50-8c0e-40a3-b13f-9ae789445b74@vp14.dadfe.edu.cn:4567?encryption=none&amp;security=reality&amp;type=tcp&amp;sni=vp14.yourdomain.com&amp;fp=chrome&amp;pbk=swgXIpGcJF34pYYwjPznkG4jZ6dH8oLaO2ImCbFTMVE&amp;sid=6ba85179e30d4fc2&amp;flow=xtls-rprx-vision#VP14_Reality_TLS</v>
      </c>
      <c r="I15" s="125" t="str">
        <f t="shared" si="3"/>
        <v>vless://60780c50-8c0e-40a3-b13f-9ae789445b74@vp14.dadfe.edu.cn:4567?encryption=none&amp;security=reality&amp;type=grpc&amp;sni=vp14.yourdomain.com&amp;fp=chrome&amp;pbk=swgXIpGcJF34pYYwjPznkG4jZ6dH8oLaO2ImCbFTMVE&amp;sid=6ba85179e30d4fc2&amp;path=grpc&amp;serviceName=grpc#VP14_Reality_gRPC</v>
      </c>
      <c r="J15" s="84" t="str">
        <f t="shared" si="4"/>
        <v xml:space="preserve"> vless://60780c50-8c0e-40a3-b13f-9ae789445b74@cf02.e19w.eu.org:443?encryption=none&amp;security=tls&amp;type=ws&amp;host=vp14.yourdomain.com&amp;sni=vp14.yourdomain.com&amp;fp=chrome&amp;path=/64ffwws#VP14_VLESS_WS</v>
      </c>
      <c r="K15" s="84" t="str">
        <f t="shared" si="5"/>
        <v>vless://60780c50-8c0e-40a3-b13f-9ae789445b74@cf02.e19w.eu.org:443?encryption=none&amp;security=tls&amp;type=grpc&amp;host=vp14.yourdomain.com&amp;path=64ffwgrpc&amp;fp=chrome&amp;serviceName=64ffwgrpc&amp;alpn=h2&amp;sni=vp14.yourdomain.com#VP14_VLESS_gRPC</v>
      </c>
      <c r="L15" s="84" t="str">
        <f t="shared" si="6"/>
        <v>trojan://60780c50-8c0e-40a3-b13f-9ae789445b74@cf02.e19w.eu.org:443?encryption=none&amp;peer=vp14.yourdomain.com&amp;fp=chrome&amp;security=tls&amp;type=grpc&amp;sni=vp14.yourdomain.com&amp;alpn=h2&amp;path=64ffwtrojangrpc&amp;serviceName=64ffwtrojangrpc#VP14_Trojan_gRPC</v>
      </c>
      <c r="M15" s="126" t="str" cm="1">
        <f t="array" ref="M15">IF(B15&lt;&gt;"","vmess://"&amp;EncodeBase64("  {""port"":443,""ps"""&amp;":"""&amp;UPPER(LEFT(C15,FIND(".",C15)-1))&amp;"_VMess_WS"",""tls"":""tls"",""id"":"""&amp;B15&amp;""",""aid"":0,""v"":2,""host"":"""&amp;C15&amp;""",""type"":""none"",""path"":""/"&amp;D15&amp;"vws"&amp;""",""net"":""ws"",""add"":"""&amp;F15&amp;""""&amp;","&amp;"""allowInsecure"":0,""method"":""none"",""peer"":"""&amp;C15&amp;""",""sni"":"""&amp;C15&amp;"""}"),"")</f>
        <v>vmess://ICB7InBvcnQiOjQ0MywicHMiOiJWUDE0X1ZNZXNzX1dTIiwidGxzIjoidGxzIiwiaWQiOiI2MDc4MGM1MC04YzBlLTQwYTMtYjEzZi05YWU3ODk0NDViNzQiLCJhaWQiOjAsInYiOjIsImhvc3QiOiJ2cDE0LnlvdXJkb21haW4uY29tIiwidHlwZSI6Im5vbmUiLCJwYXRoIjoiLzY0ZmZ3dndzIiwibmV0Ijoid3MiLCJhZGQiOiJ2cDE0LmRhZGZlLmVkdS5jbiIsImFsbG93SW5zZWN1cmUiOjAsIm1ldGhvZCI6Im5vbmUiLCJwZWVyIjoidnAxNC55b3VyZG9tYWluLmNvbSIsInNuaSI6InZwMTQueW91cmRvbWFpbi5jb20ifQ==</v>
      </c>
      <c r="N15" s="84" t="str">
        <f t="shared" si="7"/>
        <v>trojan://60780c50-8c0e-40a3-b13f-9ae789445b74@vp14.dadfe.edu.cn:443?peer=vp14.yourdomain.com&amp;fp=chrome&amp;sni=vp14.yourdomain.com&amp;alpn=http/1.1#VP14_Trojan</v>
      </c>
      <c r="O15" s="84" t="str">
        <f t="shared" si="8"/>
        <v xml:space="preserve"> vless://60780c50-8c0e-40a3-b13f-9ae789445b74@vp14.dadfe.edu.cn:443?encryption=none&amp;security=tls&amp;fp=chrome&amp;type=tcp&amp;host=vp14.yourdomain.com&amp;headerType=none&amp;sni=vp14.yourdomain.com&amp;flow=xtls-rprx-vision#VP14_VLESS_TLS</v>
      </c>
    </row>
    <row r="16" spans="1:15" x14ac:dyDescent="0.25">
      <c r="A16" s="80">
        <v>15</v>
      </c>
      <c r="B16" s="81" t="str">
        <f>生成UUID!C16</f>
        <v>fc0b7ecd-4fad-40ff-90da-412a4aab8ad6</v>
      </c>
      <c r="C16" s="83" t="str">
        <f t="shared" si="9"/>
        <v>vp15.yourdomain.com</v>
      </c>
      <c r="D16" s="83" t="str">
        <f t="shared" si="10"/>
        <v>64ffw</v>
      </c>
      <c r="E16" s="123" t="s">
        <v>569</v>
      </c>
      <c r="F16" s="123" t="str">
        <f t="shared" si="0"/>
        <v>vp15.dadfe.edu.cn</v>
      </c>
      <c r="G16" s="124" t="str">
        <f t="shared" si="1"/>
        <v>VP15_VMess_WS = vmess, cf02.e20w.eu.org, 443, username=fc0b7ecd-4fad-40ff-90da-412a4aab8ad6, ws=true, tls=true, ws-path=/64ffwvws, skip-cert-verify=false, udp-relay=false, vmess-aead=true, ws-headers=Host:vp15.yourdomain.com, sni=vp15.yourdomain.com</v>
      </c>
      <c r="H16" s="125" t="str">
        <f t="shared" si="2"/>
        <v>vless://fc0b7ecd-4fad-40ff-90da-412a4aab8ad6@vp15.dadfe.edu.cn:4567?encryption=none&amp;security=reality&amp;type=tcp&amp;sni=vp15.yourdomain.com&amp;fp=chrome&amp;pbk=swgXIpGcJF34pYYwjPznkG4jZ6dH8oLaO2ImCbFTMVE&amp;sid=6ba85179e30d4fc2&amp;flow=xtls-rprx-vision#VP15_Reality_TLS</v>
      </c>
      <c r="I16" s="125" t="str">
        <f t="shared" si="3"/>
        <v>vless://fc0b7ecd-4fad-40ff-90da-412a4aab8ad6@vp15.dadfe.edu.cn:4567?encryption=none&amp;security=reality&amp;type=grpc&amp;sni=vp15.yourdomain.com&amp;fp=chrome&amp;pbk=swgXIpGcJF34pYYwjPznkG4jZ6dH8oLaO2ImCbFTMVE&amp;sid=6ba85179e30d4fc2&amp;path=grpc&amp;serviceName=grpc#VP15_Reality_gRPC</v>
      </c>
      <c r="J16" s="84" t="str">
        <f t="shared" si="4"/>
        <v xml:space="preserve"> vless://fc0b7ecd-4fad-40ff-90da-412a4aab8ad6@cf02.e20w.eu.org:443?encryption=none&amp;security=tls&amp;type=ws&amp;host=vp15.yourdomain.com&amp;sni=vp15.yourdomain.com&amp;fp=chrome&amp;path=/64ffwws#VP15_VLESS_WS</v>
      </c>
      <c r="K16" s="84" t="str">
        <f t="shared" si="5"/>
        <v>vless://fc0b7ecd-4fad-40ff-90da-412a4aab8ad6@cf02.e20w.eu.org:443?encryption=none&amp;security=tls&amp;type=grpc&amp;host=vp15.yourdomain.com&amp;path=64ffwgrpc&amp;fp=chrome&amp;serviceName=64ffwgrpc&amp;alpn=h2&amp;sni=vp15.yourdomain.com#VP15_VLESS_gRPC</v>
      </c>
      <c r="L16" s="84" t="str">
        <f t="shared" si="6"/>
        <v>trojan://fc0b7ecd-4fad-40ff-90da-412a4aab8ad6@cf02.e20w.eu.org:443?encryption=none&amp;peer=vp15.yourdomain.com&amp;fp=chrome&amp;security=tls&amp;type=grpc&amp;sni=vp15.yourdomain.com&amp;alpn=h2&amp;path=64ffwtrojangrpc&amp;serviceName=64ffwtrojangrpc#VP15_Trojan_gRPC</v>
      </c>
      <c r="M16" s="126" t="str" cm="1">
        <f t="array" ref="M16">IF(B16&lt;&gt;"","vmess://"&amp;EncodeBase64("  {""port"":443,""ps"""&amp;":"""&amp;UPPER(LEFT(C16,FIND(".",C16)-1))&amp;"_VMess_WS"",""tls"":""tls"",""id"":"""&amp;B16&amp;""",""aid"":0,""v"":2,""host"":"""&amp;C16&amp;""",""type"":""none"",""path"":""/"&amp;D16&amp;"vws"&amp;""",""net"":""ws"",""add"":"""&amp;F16&amp;""""&amp;","&amp;"""allowInsecure"":0,""method"":""none"",""peer"":"""&amp;C16&amp;""",""sni"":"""&amp;C16&amp;"""}"),"")</f>
        <v>vmess://ICB7InBvcnQiOjQ0MywicHMiOiJWUDE1X1ZNZXNzX1dTIiwidGxzIjoidGxzIiwiaWQiOiJmYzBiN2VjZC00ZmFkLTQwZmYtOTBkYS00MTJhNGFhYjhhZDYiLCJhaWQiOjAsInYiOjIsImhvc3QiOiJ2cDE1LnlvdXJkb21haW4uY29tIiwidHlwZSI6Im5vbmUiLCJwYXRoIjoiLzY0ZmZ3dndzIiwibmV0Ijoid3MiLCJhZGQiOiJ2cDE1LmRhZGZlLmVkdS5jbiIsImFsbG93SW5zZWN1cmUiOjAsIm1ldGhvZCI6Im5vbmUiLCJwZWVyIjoidnAxNS55b3VyZG9tYWluLmNvbSIsInNuaSI6InZwMTUueW91cmRvbWFpbi5jb20ifQ==</v>
      </c>
      <c r="N16" s="84" t="str">
        <f t="shared" si="7"/>
        <v>trojan://fc0b7ecd-4fad-40ff-90da-412a4aab8ad6@vp15.dadfe.edu.cn:443?peer=vp15.yourdomain.com&amp;fp=chrome&amp;sni=vp15.yourdomain.com&amp;alpn=http/1.1#VP15_Trojan</v>
      </c>
      <c r="O16" s="84" t="str">
        <f t="shared" si="8"/>
        <v xml:space="preserve"> vless://fc0b7ecd-4fad-40ff-90da-412a4aab8ad6@vp15.dadfe.edu.cn:443?encryption=none&amp;security=tls&amp;fp=chrome&amp;type=tcp&amp;host=vp15.yourdomain.com&amp;headerType=none&amp;sni=vp15.yourdomain.com&amp;flow=xtls-rprx-vision#VP15_VLESS_TLS</v>
      </c>
    </row>
    <row r="17" spans="1:15" x14ac:dyDescent="0.25">
      <c r="A17" s="80">
        <v>16</v>
      </c>
      <c r="B17" s="81" t="str">
        <f>生成UUID!C17</f>
        <v>8d76ae13-3fb3-4c5f-b5f9-738abf3bb43a</v>
      </c>
      <c r="C17" s="83" t="str">
        <f t="shared" si="9"/>
        <v>vp16.yourdomain.com</v>
      </c>
      <c r="D17" s="83" t="str">
        <f t="shared" si="10"/>
        <v>64ffw</v>
      </c>
      <c r="E17" s="123" t="s">
        <v>570</v>
      </c>
      <c r="F17" s="123" t="str">
        <f t="shared" si="0"/>
        <v>vp16.dadfe.edu.cn</v>
      </c>
      <c r="G17" s="124" t="str">
        <f t="shared" si="1"/>
        <v>VP16_VMess_WS = vmess, cf02.e21w.eu.org, 443, username=8d76ae13-3fb3-4c5f-b5f9-738abf3bb43a, ws=true, tls=true, ws-path=/64ffwvws, skip-cert-verify=false, udp-relay=false, vmess-aead=true, ws-headers=Host:vp16.yourdomain.com, sni=vp16.yourdomain.com</v>
      </c>
      <c r="H17" s="125" t="str">
        <f t="shared" si="2"/>
        <v>vless://8d76ae13-3fb3-4c5f-b5f9-738abf3bb43a@vp16.dadfe.edu.cn:4567?encryption=none&amp;security=reality&amp;type=tcp&amp;sni=vp16.yourdomain.com&amp;fp=chrome&amp;pbk=swgXIpGcJF34pYYwjPznkG4jZ6dH8oLaO2ImCbFTMVE&amp;sid=6ba85179e30d4fc2&amp;flow=xtls-rprx-vision#VP16_Reality_TLS</v>
      </c>
      <c r="I17" s="125" t="str">
        <f t="shared" si="3"/>
        <v>vless://8d76ae13-3fb3-4c5f-b5f9-738abf3bb43a@vp16.dadfe.edu.cn:4567?encryption=none&amp;security=reality&amp;type=grpc&amp;sni=vp16.yourdomain.com&amp;fp=chrome&amp;pbk=swgXIpGcJF34pYYwjPznkG4jZ6dH8oLaO2ImCbFTMVE&amp;sid=6ba85179e30d4fc2&amp;path=grpc&amp;serviceName=grpc#VP16_Reality_gRPC</v>
      </c>
      <c r="J17" s="84" t="str">
        <f t="shared" si="4"/>
        <v xml:space="preserve"> vless://8d76ae13-3fb3-4c5f-b5f9-738abf3bb43a@cf02.e21w.eu.org:443?encryption=none&amp;security=tls&amp;type=ws&amp;host=vp16.yourdomain.com&amp;sni=vp16.yourdomain.com&amp;fp=chrome&amp;path=/64ffwws#VP16_VLESS_WS</v>
      </c>
      <c r="K17" s="84" t="str">
        <f t="shared" si="5"/>
        <v>vless://8d76ae13-3fb3-4c5f-b5f9-738abf3bb43a@cf02.e21w.eu.org:443?encryption=none&amp;security=tls&amp;type=grpc&amp;host=vp16.yourdomain.com&amp;path=64ffwgrpc&amp;fp=chrome&amp;serviceName=64ffwgrpc&amp;alpn=h2&amp;sni=vp16.yourdomain.com#VP16_VLESS_gRPC</v>
      </c>
      <c r="L17" s="84" t="str">
        <f t="shared" si="6"/>
        <v>trojan://8d76ae13-3fb3-4c5f-b5f9-738abf3bb43a@cf02.e21w.eu.org:443?encryption=none&amp;peer=vp16.yourdomain.com&amp;fp=chrome&amp;security=tls&amp;type=grpc&amp;sni=vp16.yourdomain.com&amp;alpn=h2&amp;path=64ffwtrojangrpc&amp;serviceName=64ffwtrojangrpc#VP16_Trojan_gRPC</v>
      </c>
      <c r="M17" s="126" t="str" cm="1">
        <f t="array" ref="M17">IF(B17&lt;&gt;"","vmess://"&amp;EncodeBase64("  {""port"":443,""ps"""&amp;":"""&amp;UPPER(LEFT(C17,FIND(".",C17)-1))&amp;"_VMess_WS"",""tls"":""tls"",""id"":"""&amp;B17&amp;""",""aid"":0,""v"":2,""host"":"""&amp;C17&amp;""",""type"":""none"",""path"":""/"&amp;D17&amp;"vws"&amp;""",""net"":""ws"",""add"":"""&amp;F17&amp;""""&amp;","&amp;"""allowInsecure"":0,""method"":""none"",""peer"":"""&amp;C17&amp;""",""sni"":"""&amp;C17&amp;"""}"),"")</f>
        <v>vmess://ICB7InBvcnQiOjQ0MywicHMiOiJWUDE2X1ZNZXNzX1dTIiwidGxzIjoidGxzIiwiaWQiOiI4ZDc2YWUxMy0zZmIzLTRjNWYtYjVmOS03MzhhYmYzYmI0M2EiLCJhaWQiOjAsInYiOjIsImhvc3QiOiJ2cDE2LnlvdXJkb21haW4uY29tIiwidHlwZSI6Im5vbmUiLCJwYXRoIjoiLzY0ZmZ3dndzIiwibmV0Ijoid3MiLCJhZGQiOiJ2cDE2LmRhZGZlLmVkdS5jbiIsImFsbG93SW5zZWN1cmUiOjAsIm1ldGhvZCI6Im5vbmUiLCJwZWVyIjoidnAxNi55b3VyZG9tYWluLmNvbSIsInNuaSI6InZwMTYueW91cmRvbWFpbi5jb20ifQ==</v>
      </c>
      <c r="N17" s="84" t="str">
        <f t="shared" si="7"/>
        <v>trojan://8d76ae13-3fb3-4c5f-b5f9-738abf3bb43a@vp16.dadfe.edu.cn:443?peer=vp16.yourdomain.com&amp;fp=chrome&amp;sni=vp16.yourdomain.com&amp;alpn=http/1.1#VP16_Trojan</v>
      </c>
      <c r="O17" s="84" t="str">
        <f t="shared" si="8"/>
        <v xml:space="preserve"> vless://8d76ae13-3fb3-4c5f-b5f9-738abf3bb43a@vp16.dadfe.edu.cn:443?encryption=none&amp;security=tls&amp;fp=chrome&amp;type=tcp&amp;host=vp16.yourdomain.com&amp;headerType=none&amp;sni=vp16.yourdomain.com&amp;flow=xtls-rprx-vision#VP16_VLESS_TLS</v>
      </c>
    </row>
    <row r="18" spans="1:15" x14ac:dyDescent="0.25">
      <c r="A18" s="80">
        <v>17</v>
      </c>
      <c r="B18" s="81" t="str">
        <f>生成UUID!C18</f>
        <v>5cda6eca-aa92-4030-9fb4-7259bfbce5d7</v>
      </c>
      <c r="C18" s="83" t="str">
        <f t="shared" si="9"/>
        <v>vp17.yourdomain.com</v>
      </c>
      <c r="D18" s="83" t="str">
        <f t="shared" si="10"/>
        <v>64ffw</v>
      </c>
      <c r="E18" s="123" t="s">
        <v>571</v>
      </c>
      <c r="F18" s="123" t="str">
        <f t="shared" si="0"/>
        <v>vp17.dadfe.edu.cn</v>
      </c>
      <c r="G18" s="124" t="str">
        <f t="shared" si="1"/>
        <v>VP17_VMess_WS = vmess, cf02.e22w.eu.org, 443, username=5cda6eca-aa92-4030-9fb4-7259bfbce5d7, ws=true, tls=true, ws-path=/64ffwvws, skip-cert-verify=false, udp-relay=false, vmess-aead=true, ws-headers=Host:vp17.yourdomain.com, sni=vp17.yourdomain.com</v>
      </c>
      <c r="H18" s="125" t="str">
        <f t="shared" si="2"/>
        <v>vless://5cda6eca-aa92-4030-9fb4-7259bfbce5d7@vp17.dadfe.edu.cn:4567?encryption=none&amp;security=reality&amp;type=tcp&amp;sni=vp17.yourdomain.com&amp;fp=chrome&amp;pbk=swgXIpGcJF34pYYwjPznkG4jZ6dH8oLaO2ImCbFTMVE&amp;sid=6ba85179e30d4fc2&amp;flow=xtls-rprx-vision#VP17_Reality_TLS</v>
      </c>
      <c r="I18" s="125" t="str">
        <f t="shared" si="3"/>
        <v>vless://5cda6eca-aa92-4030-9fb4-7259bfbce5d7@vp17.dadfe.edu.cn:4567?encryption=none&amp;security=reality&amp;type=grpc&amp;sni=vp17.yourdomain.com&amp;fp=chrome&amp;pbk=swgXIpGcJF34pYYwjPznkG4jZ6dH8oLaO2ImCbFTMVE&amp;sid=6ba85179e30d4fc2&amp;path=grpc&amp;serviceName=grpc#VP17_Reality_gRPC</v>
      </c>
      <c r="J18" s="84" t="str">
        <f t="shared" si="4"/>
        <v xml:space="preserve"> vless://5cda6eca-aa92-4030-9fb4-7259bfbce5d7@cf02.e22w.eu.org:443?encryption=none&amp;security=tls&amp;type=ws&amp;host=vp17.yourdomain.com&amp;sni=vp17.yourdomain.com&amp;fp=chrome&amp;path=/64ffwws#VP17_VLESS_WS</v>
      </c>
      <c r="K18" s="84" t="str">
        <f t="shared" si="5"/>
        <v>vless://5cda6eca-aa92-4030-9fb4-7259bfbce5d7@cf02.e22w.eu.org:443?encryption=none&amp;security=tls&amp;type=grpc&amp;host=vp17.yourdomain.com&amp;path=64ffwgrpc&amp;fp=chrome&amp;serviceName=64ffwgrpc&amp;alpn=h2&amp;sni=vp17.yourdomain.com#VP17_VLESS_gRPC</v>
      </c>
      <c r="L18" s="84" t="str">
        <f t="shared" si="6"/>
        <v>trojan://5cda6eca-aa92-4030-9fb4-7259bfbce5d7@cf02.e22w.eu.org:443?encryption=none&amp;peer=vp17.yourdomain.com&amp;fp=chrome&amp;security=tls&amp;type=grpc&amp;sni=vp17.yourdomain.com&amp;alpn=h2&amp;path=64ffwtrojangrpc&amp;serviceName=64ffwtrojangrpc#VP17_Trojan_gRPC</v>
      </c>
      <c r="M18" s="126" t="str" cm="1">
        <f t="array" ref="M18">IF(B18&lt;&gt;"","vmess://"&amp;EncodeBase64("  {""port"":443,""ps"""&amp;":"""&amp;UPPER(LEFT(C18,FIND(".",C18)-1))&amp;"_VMess_WS"",""tls"":""tls"",""id"":"""&amp;B18&amp;""",""aid"":0,""v"":2,""host"":"""&amp;C18&amp;""",""type"":""none"",""path"":""/"&amp;D18&amp;"vws"&amp;""",""net"":""ws"",""add"":"""&amp;F18&amp;""""&amp;","&amp;"""allowInsecure"":0,""method"":""none"",""peer"":"""&amp;C18&amp;""",""sni"":"""&amp;C18&amp;"""}"),"")</f>
        <v>vmess://ICB7InBvcnQiOjQ0MywicHMiOiJWUDE3X1ZNZXNzX1dTIiwidGxzIjoidGxzIiwiaWQiOiI1Y2RhNmVjYS1hYTkyLTQwMzAtOWZiNC03MjU5YmZiY2U1ZDciLCJhaWQiOjAsInYiOjIsImhvc3QiOiJ2cDE3LnlvdXJkb21haW4uY29tIiwidHlwZSI6Im5vbmUiLCJwYXRoIjoiLzY0ZmZ3dndzIiwibmV0Ijoid3MiLCJhZGQiOiJ2cDE3LmRhZGZlLmVkdS5jbiIsImFsbG93SW5zZWN1cmUiOjAsIm1ldGhvZCI6Im5vbmUiLCJwZWVyIjoidnAxNy55b3VyZG9tYWluLmNvbSIsInNuaSI6InZwMTcueW91cmRvbWFpbi5jb20ifQ==</v>
      </c>
      <c r="N18" s="84" t="str">
        <f t="shared" si="7"/>
        <v>trojan://5cda6eca-aa92-4030-9fb4-7259bfbce5d7@vp17.dadfe.edu.cn:443?peer=vp17.yourdomain.com&amp;fp=chrome&amp;sni=vp17.yourdomain.com&amp;alpn=http/1.1#VP17_Trojan</v>
      </c>
      <c r="O18" s="84" t="str">
        <f t="shared" si="8"/>
        <v xml:space="preserve"> vless://5cda6eca-aa92-4030-9fb4-7259bfbce5d7@vp17.dadfe.edu.cn:443?encryption=none&amp;security=tls&amp;fp=chrome&amp;type=tcp&amp;host=vp17.yourdomain.com&amp;headerType=none&amp;sni=vp17.yourdomain.com&amp;flow=xtls-rprx-vision#VP17_VLESS_TLS</v>
      </c>
    </row>
    <row r="19" spans="1:15" x14ac:dyDescent="0.25">
      <c r="A19" s="80">
        <v>18</v>
      </c>
      <c r="B19" s="81" t="str">
        <f>生成UUID!C19</f>
        <v>52bc0849-d32e-4c9b-a912-b48ecfb14088</v>
      </c>
      <c r="C19" s="83" t="str">
        <f t="shared" si="9"/>
        <v>vp18.yourdomain.com</v>
      </c>
      <c r="D19" s="83" t="str">
        <f t="shared" si="10"/>
        <v>64ffw</v>
      </c>
      <c r="E19" s="123" t="s">
        <v>572</v>
      </c>
      <c r="F19" s="123" t="str">
        <f t="shared" si="0"/>
        <v>vp18.dadfe.edu.cn</v>
      </c>
      <c r="G19" s="124" t="str">
        <f t="shared" si="1"/>
        <v>VP18_VMess_WS = vmess, cf02.e23w.eu.org, 443, username=52bc0849-d32e-4c9b-a912-b48ecfb14088, ws=true, tls=true, ws-path=/64ffwvws, skip-cert-verify=false, udp-relay=false, vmess-aead=true, ws-headers=Host:vp18.yourdomain.com, sni=vp18.yourdomain.com</v>
      </c>
      <c r="H19" s="125" t="str">
        <f t="shared" si="2"/>
        <v>vless://52bc0849-d32e-4c9b-a912-b48ecfb14088@vp18.dadfe.edu.cn:4567?encryption=none&amp;security=reality&amp;type=tcp&amp;sni=vp18.yourdomain.com&amp;fp=chrome&amp;pbk=swgXIpGcJF34pYYwjPznkG4jZ6dH8oLaO2ImCbFTMVE&amp;sid=6ba85179e30d4fc2&amp;flow=xtls-rprx-vision#VP18_Reality_TLS</v>
      </c>
      <c r="I19" s="125" t="str">
        <f t="shared" si="3"/>
        <v>vless://52bc0849-d32e-4c9b-a912-b48ecfb14088@vp18.dadfe.edu.cn:4567?encryption=none&amp;security=reality&amp;type=grpc&amp;sni=vp18.yourdomain.com&amp;fp=chrome&amp;pbk=swgXIpGcJF34pYYwjPznkG4jZ6dH8oLaO2ImCbFTMVE&amp;sid=6ba85179e30d4fc2&amp;path=grpc&amp;serviceName=grpc#VP18_Reality_gRPC</v>
      </c>
      <c r="J19" s="84" t="str">
        <f t="shared" si="4"/>
        <v xml:space="preserve"> vless://52bc0849-d32e-4c9b-a912-b48ecfb14088@cf02.e23w.eu.org:443?encryption=none&amp;security=tls&amp;type=ws&amp;host=vp18.yourdomain.com&amp;sni=vp18.yourdomain.com&amp;fp=chrome&amp;path=/64ffwws#VP18_VLESS_WS</v>
      </c>
      <c r="K19" s="84" t="str">
        <f t="shared" si="5"/>
        <v>vless://52bc0849-d32e-4c9b-a912-b48ecfb14088@cf02.e23w.eu.org:443?encryption=none&amp;security=tls&amp;type=grpc&amp;host=vp18.yourdomain.com&amp;path=64ffwgrpc&amp;fp=chrome&amp;serviceName=64ffwgrpc&amp;alpn=h2&amp;sni=vp18.yourdomain.com#VP18_VLESS_gRPC</v>
      </c>
      <c r="L19" s="84" t="str">
        <f t="shared" si="6"/>
        <v>trojan://52bc0849-d32e-4c9b-a912-b48ecfb14088@cf02.e23w.eu.org:443?encryption=none&amp;peer=vp18.yourdomain.com&amp;fp=chrome&amp;security=tls&amp;type=grpc&amp;sni=vp18.yourdomain.com&amp;alpn=h2&amp;path=64ffwtrojangrpc&amp;serviceName=64ffwtrojangrpc#VP18_Trojan_gRPC</v>
      </c>
      <c r="M19" s="126" t="str" cm="1">
        <f t="array" ref="M19">IF(B19&lt;&gt;"","vmess://"&amp;EncodeBase64("  {""port"":443,""ps"""&amp;":"""&amp;UPPER(LEFT(C19,FIND(".",C19)-1))&amp;"_VMess_WS"",""tls"":""tls"",""id"":"""&amp;B19&amp;""",""aid"":0,""v"":2,""host"":"""&amp;C19&amp;""",""type"":""none"",""path"":""/"&amp;D19&amp;"vws"&amp;""",""net"":""ws"",""add"":"""&amp;F19&amp;""""&amp;","&amp;"""allowInsecure"":0,""method"":""none"",""peer"":"""&amp;C19&amp;""",""sni"":"""&amp;C19&amp;"""}"),"")</f>
        <v>vmess://ICB7InBvcnQiOjQ0MywicHMiOiJWUDE4X1ZNZXNzX1dTIiwidGxzIjoidGxzIiwiaWQiOiI1MmJjMDg0OS1kMzJlLTRjOWItYTkxMi1iNDhlY2ZiMTQwODgiLCJhaWQiOjAsInYiOjIsImhvc3QiOiJ2cDE4LnlvdXJkb21haW4uY29tIiwidHlwZSI6Im5vbmUiLCJwYXRoIjoiLzY0ZmZ3dndzIiwibmV0Ijoid3MiLCJhZGQiOiJ2cDE4LmRhZGZlLmVkdS5jbiIsImFsbG93SW5zZWN1cmUiOjAsIm1ldGhvZCI6Im5vbmUiLCJwZWVyIjoidnAxOC55b3VyZG9tYWluLmNvbSIsInNuaSI6InZwMTgueW91cmRvbWFpbi5jb20ifQ==</v>
      </c>
      <c r="N19" s="84" t="str">
        <f t="shared" si="7"/>
        <v>trojan://52bc0849-d32e-4c9b-a912-b48ecfb14088@vp18.dadfe.edu.cn:443?peer=vp18.yourdomain.com&amp;fp=chrome&amp;sni=vp18.yourdomain.com&amp;alpn=http/1.1#VP18_Trojan</v>
      </c>
      <c r="O19" s="84" t="str">
        <f t="shared" si="8"/>
        <v xml:space="preserve"> vless://52bc0849-d32e-4c9b-a912-b48ecfb14088@vp18.dadfe.edu.cn:443?encryption=none&amp;security=tls&amp;fp=chrome&amp;type=tcp&amp;host=vp18.yourdomain.com&amp;headerType=none&amp;sni=vp18.yourdomain.com&amp;flow=xtls-rprx-vision#VP18_VLESS_TLS</v>
      </c>
    </row>
    <row r="20" spans="1:15" x14ac:dyDescent="0.25">
      <c r="A20" s="80">
        <v>19</v>
      </c>
      <c r="B20" s="81" t="str">
        <f>生成UUID!C20</f>
        <v>46fe4ecf-2877-4ae0-9375-b055e0fa257c</v>
      </c>
      <c r="C20" s="83" t="str">
        <f t="shared" si="9"/>
        <v>vp19.yourdomain.com</v>
      </c>
      <c r="D20" s="83" t="str">
        <f t="shared" si="10"/>
        <v>64ffw</v>
      </c>
      <c r="E20" s="123" t="s">
        <v>573</v>
      </c>
      <c r="F20" s="123" t="str">
        <f t="shared" si="0"/>
        <v>vp19.dadfe.edu.cn</v>
      </c>
      <c r="G20" s="124" t="str">
        <f t="shared" si="1"/>
        <v>VP19_VMess_WS = vmess, cf02.e24w.eu.org, 443, username=46fe4ecf-2877-4ae0-9375-b055e0fa257c, ws=true, tls=true, ws-path=/64ffwvws, skip-cert-verify=false, udp-relay=false, vmess-aead=true, ws-headers=Host:vp19.yourdomain.com, sni=vp19.yourdomain.com</v>
      </c>
      <c r="H20" s="125" t="str">
        <f t="shared" si="2"/>
        <v>vless://46fe4ecf-2877-4ae0-9375-b055e0fa257c@vp19.dadfe.edu.cn:4567?encryption=none&amp;security=reality&amp;type=tcp&amp;sni=vp19.yourdomain.com&amp;fp=chrome&amp;pbk=swgXIpGcJF34pYYwjPznkG4jZ6dH8oLaO2ImCbFTMVE&amp;sid=6ba85179e30d4fc2&amp;flow=xtls-rprx-vision#VP19_Reality_TLS</v>
      </c>
      <c r="I20" s="125" t="str">
        <f t="shared" si="3"/>
        <v>vless://46fe4ecf-2877-4ae0-9375-b055e0fa257c@vp19.dadfe.edu.cn:4567?encryption=none&amp;security=reality&amp;type=grpc&amp;sni=vp19.yourdomain.com&amp;fp=chrome&amp;pbk=swgXIpGcJF34pYYwjPznkG4jZ6dH8oLaO2ImCbFTMVE&amp;sid=6ba85179e30d4fc2&amp;path=grpc&amp;serviceName=grpc#VP19_Reality_gRPC</v>
      </c>
      <c r="J20" s="84" t="str">
        <f t="shared" si="4"/>
        <v xml:space="preserve"> vless://46fe4ecf-2877-4ae0-9375-b055e0fa257c@cf02.e24w.eu.org:443?encryption=none&amp;security=tls&amp;type=ws&amp;host=vp19.yourdomain.com&amp;sni=vp19.yourdomain.com&amp;fp=chrome&amp;path=/64ffwws#VP19_VLESS_WS</v>
      </c>
      <c r="K20" s="84" t="str">
        <f t="shared" si="5"/>
        <v>vless://46fe4ecf-2877-4ae0-9375-b055e0fa257c@cf02.e24w.eu.org:443?encryption=none&amp;security=tls&amp;type=grpc&amp;host=vp19.yourdomain.com&amp;path=64ffwgrpc&amp;fp=chrome&amp;serviceName=64ffwgrpc&amp;alpn=h2&amp;sni=vp19.yourdomain.com#VP19_VLESS_gRPC</v>
      </c>
      <c r="L20" s="84" t="str">
        <f t="shared" si="6"/>
        <v>trojan://46fe4ecf-2877-4ae0-9375-b055e0fa257c@cf02.e24w.eu.org:443?encryption=none&amp;peer=vp19.yourdomain.com&amp;fp=chrome&amp;security=tls&amp;type=grpc&amp;sni=vp19.yourdomain.com&amp;alpn=h2&amp;path=64ffwtrojangrpc&amp;serviceName=64ffwtrojangrpc#VP19_Trojan_gRPC</v>
      </c>
      <c r="M20" s="126" t="str" cm="1">
        <f t="array" ref="M20">IF(B20&lt;&gt;"","vmess://"&amp;EncodeBase64("  {""port"":443,""ps"""&amp;":"""&amp;UPPER(LEFT(C20,FIND(".",C20)-1))&amp;"_VMess_WS"",""tls"":""tls"",""id"":"""&amp;B20&amp;""",""aid"":0,""v"":2,""host"":"""&amp;C20&amp;""",""type"":""none"",""path"":""/"&amp;D20&amp;"vws"&amp;""",""net"":""ws"",""add"":"""&amp;F20&amp;""""&amp;","&amp;"""allowInsecure"":0,""method"":""none"",""peer"":"""&amp;C20&amp;""",""sni"":"""&amp;C20&amp;"""}"),"")</f>
        <v>vmess://ICB7InBvcnQiOjQ0MywicHMiOiJWUDE5X1ZNZXNzX1dTIiwidGxzIjoidGxzIiwiaWQiOiI0NmZlNGVjZi0yODc3LTRhZTAtOTM3NS1iMDU1ZTBmYTI1N2MiLCJhaWQiOjAsInYiOjIsImhvc3QiOiJ2cDE5LnlvdXJkb21haW4uY29tIiwidHlwZSI6Im5vbmUiLCJwYXRoIjoiLzY0ZmZ3dndzIiwibmV0Ijoid3MiLCJhZGQiOiJ2cDE5LmRhZGZlLmVkdS5jbiIsImFsbG93SW5zZWN1cmUiOjAsIm1ldGhvZCI6Im5vbmUiLCJwZWVyIjoidnAxOS55b3VyZG9tYWluLmNvbSIsInNuaSI6InZwMTkueW91cmRvbWFpbi5jb20ifQ==</v>
      </c>
      <c r="N20" s="84" t="str">
        <f t="shared" si="7"/>
        <v>trojan://46fe4ecf-2877-4ae0-9375-b055e0fa257c@vp19.dadfe.edu.cn:443?peer=vp19.yourdomain.com&amp;fp=chrome&amp;sni=vp19.yourdomain.com&amp;alpn=http/1.1#VP19_Trojan</v>
      </c>
      <c r="O20" s="84" t="str">
        <f t="shared" si="8"/>
        <v xml:space="preserve"> vless://46fe4ecf-2877-4ae0-9375-b055e0fa257c@vp19.dadfe.edu.cn:443?encryption=none&amp;security=tls&amp;fp=chrome&amp;type=tcp&amp;host=vp19.yourdomain.com&amp;headerType=none&amp;sni=vp19.yourdomain.com&amp;flow=xtls-rprx-vision#VP19_VLESS_TLS</v>
      </c>
    </row>
    <row r="21" spans="1:15" x14ac:dyDescent="0.25">
      <c r="A21" s="80">
        <v>20</v>
      </c>
      <c r="B21" s="81" t="str">
        <f>生成UUID!C21</f>
        <v>a9b08f59-119f-4700-ab2a-5a60f0563206</v>
      </c>
      <c r="C21" s="83" t="str">
        <f t="shared" si="9"/>
        <v>vp20.yourdomain.com</v>
      </c>
      <c r="D21" s="83" t="str">
        <f t="shared" si="10"/>
        <v>64ffw</v>
      </c>
      <c r="E21" s="123" t="s">
        <v>574</v>
      </c>
      <c r="F21" s="123" t="str">
        <f t="shared" si="0"/>
        <v>vp20.dadfe.edu.cn</v>
      </c>
      <c r="G21" s="124" t="str">
        <f t="shared" si="1"/>
        <v>VP20_VMess_WS = vmess, cf02.e25w.eu.org, 443, username=a9b08f59-119f-4700-ab2a-5a60f0563206, ws=true, tls=true, ws-path=/64ffwvws, skip-cert-verify=false, udp-relay=false, vmess-aead=true, ws-headers=Host:vp20.yourdomain.com, sni=vp20.yourdomain.com</v>
      </c>
      <c r="H21" s="125" t="str">
        <f t="shared" si="2"/>
        <v>vless://a9b08f59-119f-4700-ab2a-5a60f0563206@vp20.dadfe.edu.cn:4567?encryption=none&amp;security=reality&amp;type=tcp&amp;sni=vp20.yourdomain.com&amp;fp=chrome&amp;pbk=swgXIpGcJF34pYYwjPznkG4jZ6dH8oLaO2ImCbFTMVE&amp;sid=6ba85179e30d4fc2&amp;flow=xtls-rprx-vision#VP20_Reality_TLS</v>
      </c>
      <c r="I21" s="125" t="str">
        <f t="shared" si="3"/>
        <v>vless://a9b08f59-119f-4700-ab2a-5a60f0563206@vp20.dadfe.edu.cn:4567?encryption=none&amp;security=reality&amp;type=grpc&amp;sni=vp20.yourdomain.com&amp;fp=chrome&amp;pbk=swgXIpGcJF34pYYwjPznkG4jZ6dH8oLaO2ImCbFTMVE&amp;sid=6ba85179e30d4fc2&amp;path=grpc&amp;serviceName=grpc#VP20_Reality_gRPC</v>
      </c>
      <c r="J21" s="84" t="str">
        <f t="shared" si="4"/>
        <v xml:space="preserve"> vless://a9b08f59-119f-4700-ab2a-5a60f0563206@cf02.e25w.eu.org:443?encryption=none&amp;security=tls&amp;type=ws&amp;host=vp20.yourdomain.com&amp;sni=vp20.yourdomain.com&amp;fp=chrome&amp;path=/64ffwws#VP20_VLESS_WS</v>
      </c>
      <c r="K21" s="84" t="str">
        <f t="shared" si="5"/>
        <v>vless://a9b08f59-119f-4700-ab2a-5a60f0563206@cf02.e25w.eu.org:443?encryption=none&amp;security=tls&amp;type=grpc&amp;host=vp20.yourdomain.com&amp;path=64ffwgrpc&amp;fp=chrome&amp;serviceName=64ffwgrpc&amp;alpn=h2&amp;sni=vp20.yourdomain.com#VP20_VLESS_gRPC</v>
      </c>
      <c r="L21" s="84" t="str">
        <f t="shared" si="6"/>
        <v>trojan://a9b08f59-119f-4700-ab2a-5a60f0563206@cf02.e25w.eu.org:443?encryption=none&amp;peer=vp20.yourdomain.com&amp;fp=chrome&amp;security=tls&amp;type=grpc&amp;sni=vp20.yourdomain.com&amp;alpn=h2&amp;path=64ffwtrojangrpc&amp;serviceName=64ffwtrojangrpc#VP20_Trojan_gRPC</v>
      </c>
      <c r="M21" s="126" t="str" cm="1">
        <f t="array" ref="M21">IF(B21&lt;&gt;"","vmess://"&amp;EncodeBase64("  {""port"":443,""ps"""&amp;":"""&amp;UPPER(LEFT(C21,FIND(".",C21)-1))&amp;"_VMess_WS"",""tls"":""tls"",""id"":"""&amp;B21&amp;""",""aid"":0,""v"":2,""host"":"""&amp;C21&amp;""",""type"":""none"",""path"":""/"&amp;D21&amp;"vws"&amp;""",""net"":""ws"",""add"":"""&amp;F21&amp;""""&amp;","&amp;"""allowInsecure"":0,""method"":""none"",""peer"":"""&amp;C21&amp;""",""sni"":"""&amp;C21&amp;"""}"),"")</f>
        <v>vmess://ICB7InBvcnQiOjQ0MywicHMiOiJWUDIwX1ZNZXNzX1dTIiwidGxzIjoidGxzIiwiaWQiOiJhOWIwOGY1OS0xMTlmLTQ3MDAtYWIyYS01YTYwZjA1NjMyMDYiLCJhaWQiOjAsInYiOjIsImhvc3QiOiJ2cDIwLnlvdXJkb21haW4uY29tIiwidHlwZSI6Im5vbmUiLCJwYXRoIjoiLzY0ZmZ3dndzIiwibmV0Ijoid3MiLCJhZGQiOiJ2cDIwLmRhZGZlLmVkdS5jbiIsImFsbG93SW5zZWN1cmUiOjAsIm1ldGhvZCI6Im5vbmUiLCJwZWVyIjoidnAyMC55b3VyZG9tYWluLmNvbSIsInNuaSI6InZwMjAueW91cmRvbWFpbi5jb20ifQ==</v>
      </c>
      <c r="N21" s="84" t="str">
        <f t="shared" si="7"/>
        <v>trojan://a9b08f59-119f-4700-ab2a-5a60f0563206@vp20.dadfe.edu.cn:443?peer=vp20.yourdomain.com&amp;fp=chrome&amp;sni=vp20.yourdomain.com&amp;alpn=http/1.1#VP20_Trojan</v>
      </c>
      <c r="O21" s="84" t="str">
        <f t="shared" si="8"/>
        <v xml:space="preserve"> vless://a9b08f59-119f-4700-ab2a-5a60f0563206@vp20.dadfe.edu.cn:443?encryption=none&amp;security=tls&amp;fp=chrome&amp;type=tcp&amp;host=vp20.yourdomain.com&amp;headerType=none&amp;sni=vp20.yourdomain.com&amp;flow=xtls-rprx-vision#VP20_VLESS_TLS</v>
      </c>
    </row>
    <row r="22" spans="1:15" ht="3" customHeight="1" x14ac:dyDescent="0.25">
      <c r="A22" s="87"/>
      <c r="B22" s="93"/>
      <c r="C22" s="93"/>
      <c r="D22" s="90"/>
      <c r="E22" s="93"/>
      <c r="F22" s="93"/>
      <c r="G22" s="93"/>
      <c r="H22" s="93"/>
      <c r="I22" s="93"/>
      <c r="J22" s="92"/>
      <c r="K22" s="92"/>
      <c r="L22" s="92"/>
      <c r="M22" s="127"/>
      <c r="N22" s="93"/>
      <c r="O22" s="93"/>
    </row>
    <row r="24" spans="1:15" x14ac:dyDescent="0.25">
      <c r="A24" s="151" t="s">
        <v>75</v>
      </c>
      <c r="B24" s="128" t="s">
        <v>76</v>
      </c>
      <c r="D24" s="108" t="s">
        <v>4</v>
      </c>
      <c r="E24" s="108"/>
      <c r="F24" s="108"/>
      <c r="G24" s="108"/>
      <c r="H24" s="108"/>
      <c r="I24" s="108"/>
      <c r="J24" s="108"/>
      <c r="K24" s="108"/>
      <c r="L24" s="108"/>
    </row>
    <row r="25" spans="1:15" x14ac:dyDescent="0.25">
      <c r="A25" s="151"/>
      <c r="B25" s="156" t="s">
        <v>38</v>
      </c>
      <c r="D25" s="108" t="s">
        <v>5</v>
      </c>
      <c r="E25" s="108"/>
      <c r="F25" s="108"/>
      <c r="G25" s="108"/>
      <c r="H25" s="108"/>
      <c r="I25" s="108"/>
      <c r="J25" s="108"/>
      <c r="K25" s="108"/>
      <c r="L25" s="108"/>
      <c r="M25" s="129" t="s">
        <v>30</v>
      </c>
    </row>
    <row r="26" spans="1:15" ht="4.95" customHeight="1" x14ac:dyDescent="0.25">
      <c r="A26" s="151"/>
      <c r="B26" s="157"/>
      <c r="D26" s="108"/>
      <c r="E26" s="108"/>
      <c r="F26" s="108"/>
      <c r="G26" s="108"/>
      <c r="H26" s="108"/>
      <c r="I26" s="108"/>
      <c r="J26" s="114"/>
      <c r="K26" s="114"/>
      <c r="L26" s="114"/>
    </row>
    <row r="27" spans="1:15" x14ac:dyDescent="0.25">
      <c r="A27" s="151"/>
      <c r="B27" s="154" t="s">
        <v>83</v>
      </c>
      <c r="D27" s="110" t="s">
        <v>6</v>
      </c>
      <c r="E27" s="110"/>
      <c r="F27" s="110"/>
      <c r="G27" s="110"/>
      <c r="H27" s="110"/>
      <c r="I27" s="110"/>
      <c r="J27" s="110"/>
      <c r="K27" s="110"/>
      <c r="L27" s="110"/>
      <c r="M27" s="129" t="s">
        <v>30</v>
      </c>
    </row>
    <row r="28" spans="1:15" ht="4.95" customHeight="1" x14ac:dyDescent="0.25">
      <c r="A28" s="151"/>
      <c r="B28" s="155"/>
      <c r="D28" s="86"/>
    </row>
    <row r="29" spans="1:15" x14ac:dyDescent="0.25">
      <c r="A29" s="151"/>
      <c r="B29" s="158" t="s">
        <v>50</v>
      </c>
      <c r="D29" s="130" t="s">
        <v>9</v>
      </c>
      <c r="E29" s="130"/>
      <c r="F29" s="130"/>
      <c r="G29" s="130"/>
      <c r="H29" s="130"/>
      <c r="I29" s="130"/>
      <c r="M29" s="129" t="s">
        <v>30</v>
      </c>
    </row>
    <row r="30" spans="1:15" ht="4.95" customHeight="1" x14ac:dyDescent="0.25">
      <c r="A30" s="151"/>
      <c r="B30" s="159"/>
      <c r="D30" s="86"/>
    </row>
    <row r="31" spans="1:15" x14ac:dyDescent="0.25">
      <c r="A31" s="151"/>
      <c r="B31" s="131" t="s">
        <v>77</v>
      </c>
      <c r="D31" s="86" t="s">
        <v>17</v>
      </c>
    </row>
    <row r="32" spans="1:15" x14ac:dyDescent="0.25">
      <c r="A32" s="151"/>
      <c r="B32" s="152" t="s">
        <v>449</v>
      </c>
      <c r="D32" s="132" t="s">
        <v>18</v>
      </c>
    </row>
    <row r="33" spans="1:5" ht="4.95" customHeight="1" x14ac:dyDescent="0.25">
      <c r="A33" s="151"/>
      <c r="B33" s="152"/>
      <c r="D33" s="86"/>
    </row>
    <row r="34" spans="1:5" x14ac:dyDescent="0.25">
      <c r="A34" s="151"/>
      <c r="B34" s="131" t="s">
        <v>78</v>
      </c>
      <c r="D34" s="111" t="s">
        <v>24</v>
      </c>
    </row>
    <row r="35" spans="1:5" x14ac:dyDescent="0.25">
      <c r="A35" s="151"/>
      <c r="B35" s="83" t="s">
        <v>575</v>
      </c>
      <c r="D35" s="111" t="s">
        <v>25</v>
      </c>
    </row>
    <row r="36" spans="1:5" x14ac:dyDescent="0.25">
      <c r="A36" s="151"/>
      <c r="B36" s="153" t="s">
        <v>79</v>
      </c>
      <c r="D36" s="111" t="s">
        <v>26</v>
      </c>
    </row>
    <row r="37" spans="1:5" ht="4.95" customHeight="1" x14ac:dyDescent="0.25">
      <c r="A37" s="151"/>
      <c r="B37" s="153"/>
      <c r="D37" s="86"/>
    </row>
    <row r="38" spans="1:5" ht="15.6" x14ac:dyDescent="0.25">
      <c r="A38" s="151"/>
      <c r="B38" s="83" t="s">
        <v>554</v>
      </c>
      <c r="D38" s="133" t="s">
        <v>29</v>
      </c>
      <c r="E38" s="108"/>
    </row>
    <row r="39" spans="1:5" x14ac:dyDescent="0.25">
      <c r="B39" s="150"/>
      <c r="D39" s="104" t="s">
        <v>32</v>
      </c>
      <c r="E39" s="108"/>
    </row>
    <row r="40" spans="1:5" ht="4.95" customHeight="1" x14ac:dyDescent="0.25">
      <c r="B40" s="150"/>
      <c r="D40" s="86"/>
    </row>
    <row r="41" spans="1:5" x14ac:dyDescent="0.25">
      <c r="B41" s="105"/>
    </row>
    <row r="42" spans="1:5" x14ac:dyDescent="0.25">
      <c r="D42" s="86"/>
    </row>
  </sheetData>
  <sheetProtection algorithmName="SHA-512" hashValue="Ixw/jnm8zTgteRs4iKnd3GoSJI34ocxznV5/tnw+/qOKATjO5xboVU/sZ/H7G7Ur1i3Jei2RXd2z1P/QdxkrLA==" saltValue="3OFA7AVXDCvFTicb4uNu+A==" spinCount="100000" sheet="1" objects="1" scenarios="1"/>
  <protectedRanges>
    <protectedRange sqref="B2:F21" name="区域6"/>
    <protectedRange sqref="B25" name="区域1"/>
    <protectedRange sqref="B29" name="区域2"/>
    <protectedRange sqref="B32" name="区域3"/>
    <protectedRange sqref="B35" name="区域4"/>
    <protectedRange sqref="B38" name="区域5"/>
  </protectedRanges>
  <mergeCells count="7">
    <mergeCell ref="B39:B40"/>
    <mergeCell ref="A24:A38"/>
    <mergeCell ref="B32:B33"/>
    <mergeCell ref="B36:B37"/>
    <mergeCell ref="B27:B28"/>
    <mergeCell ref="B25:B26"/>
    <mergeCell ref="B29:B30"/>
  </mergeCells>
  <phoneticPr fontId="7" type="noConversion"/>
  <dataValidations count="1">
    <dataValidation type="list" allowBlank="1" showInputMessage="1" showErrorMessage="1" sqref="B29:B30" xr:uid="{535FDCC1-2CEB-4C12-9EDE-8B0EFC04562C}">
      <formula1>"数字,字母"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74C91-3723-4572-9A05-AA2DD01E12EE}">
  <sheetPr codeName="Sheet2"/>
  <dimension ref="A1:G37"/>
  <sheetViews>
    <sheetView workbookViewId="0">
      <pane ySplit="1" topLeftCell="A2" activePane="bottomLeft" state="frozen"/>
      <selection pane="bottomLeft" activeCell="F62" sqref="F62"/>
    </sheetView>
  </sheetViews>
  <sheetFormatPr defaultRowHeight="13.8" x14ac:dyDescent="0.25"/>
  <cols>
    <col min="1" max="1" width="3" style="104" bestFit="1" customWidth="1"/>
    <col min="2" max="2" width="37.77734375" style="86" customWidth="1"/>
    <col min="3" max="3" width="12.77734375" style="105" customWidth="1"/>
    <col min="4" max="4" width="9.77734375" style="86" customWidth="1"/>
    <col min="5" max="7" width="30.77734375" style="106" customWidth="1"/>
    <col min="8" max="16384" width="8.88671875" style="86"/>
  </cols>
  <sheetData>
    <row r="1" spans="1:7" s="112" customFormat="1" ht="15.6" x14ac:dyDescent="0.25">
      <c r="A1" s="98" t="str">
        <f>建机专用!A1</f>
        <v>序</v>
      </c>
      <c r="B1" s="98" t="str">
        <f>建机专用!B1</f>
        <v>密码/UUID</v>
      </c>
      <c r="C1" s="98" t="str">
        <f>建机专用!C1</f>
        <v>域名</v>
      </c>
      <c r="D1" s="98" t="str">
        <f>建机专用!D1</f>
        <v>PATH</v>
      </c>
      <c r="E1" s="99" t="s">
        <v>1</v>
      </c>
      <c r="F1" s="99" t="s">
        <v>2</v>
      </c>
      <c r="G1" s="99" t="s">
        <v>3</v>
      </c>
    </row>
    <row r="2" spans="1:7" x14ac:dyDescent="0.25">
      <c r="A2" s="80">
        <v>1</v>
      </c>
      <c r="B2" s="81" t="str">
        <f>建机专用!B2</f>
        <v>adb45e76-b0e7-4c0b-90b7-8c41a9e04e51</v>
      </c>
      <c r="C2" s="83" t="str">
        <f>建机专用!C2</f>
        <v>vp1.yourdomain.com</v>
      </c>
      <c r="D2" s="83" t="str">
        <f>IF(建机专用!D2&lt;&gt;"",建机专用!D2,"")</f>
        <v>64ffw</v>
      </c>
      <c r="E2" s="113" t="str">
        <f>" vless://"&amp;B2&amp;"@"&amp;C2&amp;":443?encryption=none&amp;security=tls&amp;type=ws&amp;host="&amp;C2&amp;"&amp;sni="&amp;C2&amp;"&amp;fp=chrome&amp;path=/"&amp;D2&amp;"ws#"&amp;UPPER(LEFT(C2,FIND(".",C2)-1))&amp;"_VLESS_WS"</f>
        <v xml:space="preserve"> vless://adb45e76-b0e7-4c0b-90b7-8c41a9e04e51@vp1.yourdomain.com:443?encryption=none&amp;security=tls&amp;type=ws&amp;host=vp1.yourdomain.com&amp;sni=vp1.yourdomain.com&amp;fp=chrome&amp;path=/64ffwws#VP1_VLESS_WS</v>
      </c>
      <c r="F2" s="113" t="str">
        <f>"vless://"&amp;B2&amp;"@"&amp;C2&amp;":443?encryption=none&amp;security=tls&amp;type=grpc&amp;host="&amp;C2&amp;"&amp;path="&amp;D2&amp;"grpc&amp;fp=chrome&amp;serviceName="&amp;D2&amp;"grpc&amp;alpn=h2&amp;sni="&amp;C2&amp;"#"&amp;UPPER(LEFT(C2,FIND(".",C2)-1))&amp;"_VLESS_gRPC"</f>
        <v>vless://adb45e76-b0e7-4c0b-90b7-8c41a9e04e51@vp1.yourdomain.com:443?encryption=none&amp;security=tls&amp;type=grpc&amp;host=vp1.yourdomain.com&amp;path=64ffwgrpc&amp;fp=chrome&amp;serviceName=64ffwgrpc&amp;alpn=h2&amp;sni=vp1.yourdomain.com#VP1_VLESS_gRPC</v>
      </c>
      <c r="G2" s="113" t="str">
        <f>"trojan://"&amp;B2&amp;"@"&amp;C2&amp;":443?encryption=none&amp;peer="&amp;C2&amp;"&amp;fp=chrome&amp;security=tls&amp;type=grpc&amp;sni="&amp;C2&amp;"&amp;alpn=h2&amp;path="&amp;D2&amp;"trojangrpc&amp;serviceName="&amp;D2&amp;"trojangrpc#"&amp;UPPER(LEFT(C2,FIND(".",C2)-1))&amp;"_Trojan_gRPC"</f>
        <v>trojan://adb45e76-b0e7-4c0b-90b7-8c41a9e04e51@vp1.yourdomain.com:443?encryption=none&amp;peer=vp1.yourdomain.com&amp;fp=chrome&amp;security=tls&amp;type=grpc&amp;sni=vp1.yourdomain.com&amp;alpn=h2&amp;path=64ffwtrojangrpc&amp;serviceName=64ffwtrojangrpc#VP1_Trojan_gRPC</v>
      </c>
    </row>
    <row r="3" spans="1:7" x14ac:dyDescent="0.25">
      <c r="A3" s="80">
        <v>2</v>
      </c>
      <c r="B3" s="81" t="str">
        <f>建机专用!B3</f>
        <v>8b224414-a49a-4bd4-85ac-2fb4e65133a2</v>
      </c>
      <c r="C3" s="83" t="str">
        <f>建机专用!C3</f>
        <v>vp2.yourdomain.com</v>
      </c>
      <c r="D3" s="83" t="str">
        <f>建机专用!D3</f>
        <v>64ffw</v>
      </c>
      <c r="E3" s="113" t="str">
        <f t="shared" ref="E3:E19" si="0">" vless://"&amp;B3&amp;"@"&amp;C3&amp;":443?encryption=none&amp;security=tls&amp;type=ws&amp;host="&amp;C3&amp;"&amp;sni="&amp;C3&amp;"&amp;fp=chrome&amp;path=/"&amp;D3&amp;"ws#"&amp;UPPER(LEFT(C3,FIND(".",C3)-1))&amp;"_VLESS_WS"</f>
        <v xml:space="preserve"> vless://8b224414-a49a-4bd4-85ac-2fb4e65133a2@vp2.yourdomain.com:443?encryption=none&amp;security=tls&amp;type=ws&amp;host=vp2.yourdomain.com&amp;sni=vp2.yourdomain.com&amp;fp=chrome&amp;path=/64ffwws#VP2_VLESS_WS</v>
      </c>
      <c r="F3" s="113" t="str">
        <f t="shared" ref="F3:F19" si="1">"vless://"&amp;B3&amp;"@"&amp;C3&amp;":443?encryption=none&amp;security=tls&amp;type=grpc&amp;host="&amp;C3&amp;"&amp;path="&amp;D3&amp;"grpc&amp;fp=chrome&amp;serviceName="&amp;D3&amp;"grpc&amp;alpn=h2&amp;sni="&amp;C3&amp;"#"&amp;UPPER(LEFT(C3,FIND(".",C3)-1))&amp;"_VLESS_gRPC"</f>
        <v>vless://8b224414-a49a-4bd4-85ac-2fb4e65133a2@vp2.yourdomain.com:443?encryption=none&amp;security=tls&amp;type=grpc&amp;host=vp2.yourdomain.com&amp;path=64ffwgrpc&amp;fp=chrome&amp;serviceName=64ffwgrpc&amp;alpn=h2&amp;sni=vp2.yourdomain.com#VP2_VLESS_gRPC</v>
      </c>
      <c r="G3" s="113" t="str">
        <f t="shared" ref="G3:G19" si="2">"trojan://"&amp;B3&amp;"@"&amp;C3&amp;":443?encryption=none&amp;peer="&amp;C3&amp;"&amp;fp=chrome&amp;security=tls&amp;type=grpc&amp;sni="&amp;C3&amp;"&amp;alpn=h2&amp;path="&amp;D3&amp;"trojangrpc&amp;serviceName="&amp;D3&amp;"trojangrpc#"&amp;UPPER(LEFT(C3,FIND(".",C3)-1))&amp;"_Trojan_gRPC"</f>
        <v>trojan://8b224414-a49a-4bd4-85ac-2fb4e65133a2@vp2.yourdomain.com:443?encryption=none&amp;peer=vp2.yourdomain.com&amp;fp=chrome&amp;security=tls&amp;type=grpc&amp;sni=vp2.yourdomain.com&amp;alpn=h2&amp;path=64ffwtrojangrpc&amp;serviceName=64ffwtrojangrpc#VP2_Trojan_gRPC</v>
      </c>
    </row>
    <row r="4" spans="1:7" x14ac:dyDescent="0.25">
      <c r="A4" s="80">
        <v>3</v>
      </c>
      <c r="B4" s="81" t="str">
        <f>建机专用!B4</f>
        <v>e514eace-f7fc-4689-9547-91b810c9b906</v>
      </c>
      <c r="C4" s="83" t="str">
        <f>建机专用!C4</f>
        <v>vp3.yourdomain.com</v>
      </c>
      <c r="D4" s="83" t="str">
        <f>建机专用!D4</f>
        <v>64ffw</v>
      </c>
      <c r="E4" s="113" t="str">
        <f>" vless://"&amp;B4&amp;"@"&amp;C4&amp;":443?encryption=none&amp;security=tls&amp;type=ws&amp;host="&amp;C4&amp;"&amp;sni="&amp;C4&amp;"&amp;fp=chrome&amp;path=/"&amp;D4&amp;"ws#"&amp;UPPER(LEFT(C4,FIND(".",C4)-1))&amp;"_VLESS_WS"</f>
        <v xml:space="preserve"> vless://e514eace-f7fc-4689-9547-91b810c9b906@vp3.yourdomain.com:443?encryption=none&amp;security=tls&amp;type=ws&amp;host=vp3.yourdomain.com&amp;sni=vp3.yourdomain.com&amp;fp=chrome&amp;path=/64ffwws#VP3_VLESS_WS</v>
      </c>
      <c r="F4" s="113" t="str">
        <f t="shared" si="1"/>
        <v>vless://e514eace-f7fc-4689-9547-91b810c9b906@vp3.yourdomain.com:443?encryption=none&amp;security=tls&amp;type=grpc&amp;host=vp3.yourdomain.com&amp;path=64ffwgrpc&amp;fp=chrome&amp;serviceName=64ffwgrpc&amp;alpn=h2&amp;sni=vp3.yourdomain.com#VP3_VLESS_gRPC</v>
      </c>
      <c r="G4" s="113" t="str">
        <f t="shared" si="2"/>
        <v>trojan://e514eace-f7fc-4689-9547-91b810c9b906@vp3.yourdomain.com:443?encryption=none&amp;peer=vp3.yourdomain.com&amp;fp=chrome&amp;security=tls&amp;type=grpc&amp;sni=vp3.yourdomain.com&amp;alpn=h2&amp;path=64ffwtrojangrpc&amp;serviceName=64ffwtrojangrpc#VP3_Trojan_gRPC</v>
      </c>
    </row>
    <row r="5" spans="1:7" x14ac:dyDescent="0.25">
      <c r="A5" s="80">
        <v>4</v>
      </c>
      <c r="B5" s="81" t="str">
        <f>建机专用!B5</f>
        <v>15c2d187-dd1a-403a-a450-ddfbcb929556</v>
      </c>
      <c r="C5" s="83" t="str">
        <f>建机专用!C5</f>
        <v>vp4.yourdomain.com</v>
      </c>
      <c r="D5" s="83" t="str">
        <f>建机专用!D5</f>
        <v>64ffw</v>
      </c>
      <c r="E5" s="113" t="str">
        <f t="shared" si="0"/>
        <v xml:space="preserve"> vless://15c2d187-dd1a-403a-a450-ddfbcb929556@vp4.yourdomain.com:443?encryption=none&amp;security=tls&amp;type=ws&amp;host=vp4.yourdomain.com&amp;sni=vp4.yourdomain.com&amp;fp=chrome&amp;path=/64ffwws#VP4_VLESS_WS</v>
      </c>
      <c r="F5" s="113" t="str">
        <f t="shared" si="1"/>
        <v>vless://15c2d187-dd1a-403a-a450-ddfbcb929556@vp4.yourdomain.com:443?encryption=none&amp;security=tls&amp;type=grpc&amp;host=vp4.yourdomain.com&amp;path=64ffwgrpc&amp;fp=chrome&amp;serviceName=64ffwgrpc&amp;alpn=h2&amp;sni=vp4.yourdomain.com#VP4_VLESS_gRPC</v>
      </c>
      <c r="G5" s="113" t="str">
        <f t="shared" si="2"/>
        <v>trojan://15c2d187-dd1a-403a-a450-ddfbcb929556@vp4.yourdomain.com:443?encryption=none&amp;peer=vp4.yourdomain.com&amp;fp=chrome&amp;security=tls&amp;type=grpc&amp;sni=vp4.yourdomain.com&amp;alpn=h2&amp;path=64ffwtrojangrpc&amp;serviceName=64ffwtrojangrpc#VP4_Trojan_gRPC</v>
      </c>
    </row>
    <row r="6" spans="1:7" x14ac:dyDescent="0.25">
      <c r="A6" s="80">
        <v>5</v>
      </c>
      <c r="B6" s="81" t="str">
        <f>建机专用!B6</f>
        <v>6c026dff-3464-4737-9416-9b5a014b85fa</v>
      </c>
      <c r="C6" s="83" t="str">
        <f>建机专用!C6</f>
        <v>vp5.yourdomain.com</v>
      </c>
      <c r="D6" s="83" t="str">
        <f>建机专用!D6</f>
        <v>64ffw</v>
      </c>
      <c r="E6" s="113" t="str">
        <f t="shared" si="0"/>
        <v xml:space="preserve"> vless://6c026dff-3464-4737-9416-9b5a014b85fa@vp5.yourdomain.com:443?encryption=none&amp;security=tls&amp;type=ws&amp;host=vp5.yourdomain.com&amp;sni=vp5.yourdomain.com&amp;fp=chrome&amp;path=/64ffwws#VP5_VLESS_WS</v>
      </c>
      <c r="F6" s="113" t="str">
        <f t="shared" si="1"/>
        <v>vless://6c026dff-3464-4737-9416-9b5a014b85fa@vp5.yourdomain.com:443?encryption=none&amp;security=tls&amp;type=grpc&amp;host=vp5.yourdomain.com&amp;path=64ffwgrpc&amp;fp=chrome&amp;serviceName=64ffwgrpc&amp;alpn=h2&amp;sni=vp5.yourdomain.com#VP5_VLESS_gRPC</v>
      </c>
      <c r="G6" s="113" t="str">
        <f t="shared" si="2"/>
        <v>trojan://6c026dff-3464-4737-9416-9b5a014b85fa@vp5.yourdomain.com:443?encryption=none&amp;peer=vp5.yourdomain.com&amp;fp=chrome&amp;security=tls&amp;type=grpc&amp;sni=vp5.yourdomain.com&amp;alpn=h2&amp;path=64ffwtrojangrpc&amp;serviceName=64ffwtrojangrpc#VP5_Trojan_gRPC</v>
      </c>
    </row>
    <row r="7" spans="1:7" x14ac:dyDescent="0.25">
      <c r="A7" s="80">
        <v>6</v>
      </c>
      <c r="B7" s="81" t="str">
        <f>建机专用!B7</f>
        <v>fb1e92e5-4abf-404f-9234-067284ac145b</v>
      </c>
      <c r="C7" s="83" t="str">
        <f>建机专用!C7</f>
        <v>vp6.yourdomain.com</v>
      </c>
      <c r="D7" s="83" t="str">
        <f>建机专用!D7</f>
        <v>64ffw</v>
      </c>
      <c r="E7" s="113" t="str">
        <f t="shared" si="0"/>
        <v xml:space="preserve"> vless://fb1e92e5-4abf-404f-9234-067284ac145b@vp6.yourdomain.com:443?encryption=none&amp;security=tls&amp;type=ws&amp;host=vp6.yourdomain.com&amp;sni=vp6.yourdomain.com&amp;fp=chrome&amp;path=/64ffwws#VP6_VLESS_WS</v>
      </c>
      <c r="F7" s="113" t="str">
        <f t="shared" si="1"/>
        <v>vless://fb1e92e5-4abf-404f-9234-067284ac145b@vp6.yourdomain.com:443?encryption=none&amp;security=tls&amp;type=grpc&amp;host=vp6.yourdomain.com&amp;path=64ffwgrpc&amp;fp=chrome&amp;serviceName=64ffwgrpc&amp;alpn=h2&amp;sni=vp6.yourdomain.com#VP6_VLESS_gRPC</v>
      </c>
      <c r="G7" s="113" t="str">
        <f t="shared" si="2"/>
        <v>trojan://fb1e92e5-4abf-404f-9234-067284ac145b@vp6.yourdomain.com:443?encryption=none&amp;peer=vp6.yourdomain.com&amp;fp=chrome&amp;security=tls&amp;type=grpc&amp;sni=vp6.yourdomain.com&amp;alpn=h2&amp;path=64ffwtrojangrpc&amp;serviceName=64ffwtrojangrpc#VP6_Trojan_gRPC</v>
      </c>
    </row>
    <row r="8" spans="1:7" x14ac:dyDescent="0.25">
      <c r="A8" s="80">
        <v>7</v>
      </c>
      <c r="B8" s="81" t="str">
        <f>建机专用!B8</f>
        <v>516e96cc-bd80-4ce7-bcd2-fea79effabbf</v>
      </c>
      <c r="C8" s="83" t="str">
        <f>建机专用!C8</f>
        <v>vp7.yourdomain.com</v>
      </c>
      <c r="D8" s="83" t="str">
        <f>建机专用!D8</f>
        <v>64ffw</v>
      </c>
      <c r="E8" s="113" t="str">
        <f t="shared" si="0"/>
        <v xml:space="preserve"> vless://516e96cc-bd80-4ce7-bcd2-fea79effabbf@vp7.yourdomain.com:443?encryption=none&amp;security=tls&amp;type=ws&amp;host=vp7.yourdomain.com&amp;sni=vp7.yourdomain.com&amp;fp=chrome&amp;path=/64ffwws#VP7_VLESS_WS</v>
      </c>
      <c r="F8" s="113" t="str">
        <f t="shared" si="1"/>
        <v>vless://516e96cc-bd80-4ce7-bcd2-fea79effabbf@vp7.yourdomain.com:443?encryption=none&amp;security=tls&amp;type=grpc&amp;host=vp7.yourdomain.com&amp;path=64ffwgrpc&amp;fp=chrome&amp;serviceName=64ffwgrpc&amp;alpn=h2&amp;sni=vp7.yourdomain.com#VP7_VLESS_gRPC</v>
      </c>
      <c r="G8" s="113" t="str">
        <f t="shared" si="2"/>
        <v>trojan://516e96cc-bd80-4ce7-bcd2-fea79effabbf@vp7.yourdomain.com:443?encryption=none&amp;peer=vp7.yourdomain.com&amp;fp=chrome&amp;security=tls&amp;type=grpc&amp;sni=vp7.yourdomain.com&amp;alpn=h2&amp;path=64ffwtrojangrpc&amp;serviceName=64ffwtrojangrpc#VP7_Trojan_gRPC</v>
      </c>
    </row>
    <row r="9" spans="1:7" x14ac:dyDescent="0.25">
      <c r="A9" s="80">
        <v>8</v>
      </c>
      <c r="B9" s="81" t="str">
        <f>建机专用!B9</f>
        <v>9af20f09-1deb-4d65-b548-69a88235d502</v>
      </c>
      <c r="C9" s="83" t="str">
        <f>建机专用!C9</f>
        <v>vp8.yourdomain.com</v>
      </c>
      <c r="D9" s="83" t="str">
        <f>建机专用!D9</f>
        <v>64ffw</v>
      </c>
      <c r="E9" s="113" t="str">
        <f t="shared" si="0"/>
        <v xml:space="preserve"> vless://9af20f09-1deb-4d65-b548-69a88235d502@vp8.yourdomain.com:443?encryption=none&amp;security=tls&amp;type=ws&amp;host=vp8.yourdomain.com&amp;sni=vp8.yourdomain.com&amp;fp=chrome&amp;path=/64ffwws#VP8_VLESS_WS</v>
      </c>
      <c r="F9" s="113" t="str">
        <f t="shared" si="1"/>
        <v>vless://9af20f09-1deb-4d65-b548-69a88235d502@vp8.yourdomain.com:443?encryption=none&amp;security=tls&amp;type=grpc&amp;host=vp8.yourdomain.com&amp;path=64ffwgrpc&amp;fp=chrome&amp;serviceName=64ffwgrpc&amp;alpn=h2&amp;sni=vp8.yourdomain.com#VP8_VLESS_gRPC</v>
      </c>
      <c r="G9" s="113" t="str">
        <f t="shared" si="2"/>
        <v>trojan://9af20f09-1deb-4d65-b548-69a88235d502@vp8.yourdomain.com:443?encryption=none&amp;peer=vp8.yourdomain.com&amp;fp=chrome&amp;security=tls&amp;type=grpc&amp;sni=vp8.yourdomain.com&amp;alpn=h2&amp;path=64ffwtrojangrpc&amp;serviceName=64ffwtrojangrpc#VP8_Trojan_gRPC</v>
      </c>
    </row>
    <row r="10" spans="1:7" x14ac:dyDescent="0.25">
      <c r="A10" s="80">
        <v>9</v>
      </c>
      <c r="B10" s="81" t="str">
        <f>建机专用!B10</f>
        <v>cfef338c-1622-49f3-90e2-55a2b3a9ce4c</v>
      </c>
      <c r="C10" s="83" t="str">
        <f>建机专用!C10</f>
        <v>vp9.yourdomain.com</v>
      </c>
      <c r="D10" s="83" t="str">
        <f>建机专用!D10</f>
        <v>64ffw</v>
      </c>
      <c r="E10" s="113" t="str">
        <f t="shared" si="0"/>
        <v xml:space="preserve"> vless://cfef338c-1622-49f3-90e2-55a2b3a9ce4c@vp9.yourdomain.com:443?encryption=none&amp;security=tls&amp;type=ws&amp;host=vp9.yourdomain.com&amp;sni=vp9.yourdomain.com&amp;fp=chrome&amp;path=/64ffwws#VP9_VLESS_WS</v>
      </c>
      <c r="F10" s="113" t="str">
        <f t="shared" si="1"/>
        <v>vless://cfef338c-1622-49f3-90e2-55a2b3a9ce4c@vp9.yourdomain.com:443?encryption=none&amp;security=tls&amp;type=grpc&amp;host=vp9.yourdomain.com&amp;path=64ffwgrpc&amp;fp=chrome&amp;serviceName=64ffwgrpc&amp;alpn=h2&amp;sni=vp9.yourdomain.com#VP9_VLESS_gRPC</v>
      </c>
      <c r="G10" s="113" t="str">
        <f t="shared" si="2"/>
        <v>trojan://cfef338c-1622-49f3-90e2-55a2b3a9ce4c@vp9.yourdomain.com:443?encryption=none&amp;peer=vp9.yourdomain.com&amp;fp=chrome&amp;security=tls&amp;type=grpc&amp;sni=vp9.yourdomain.com&amp;alpn=h2&amp;path=64ffwtrojangrpc&amp;serviceName=64ffwtrojangrpc#VP9_Trojan_gRPC</v>
      </c>
    </row>
    <row r="11" spans="1:7" x14ac:dyDescent="0.25">
      <c r="A11" s="80">
        <v>10</v>
      </c>
      <c r="B11" s="81" t="str">
        <f>建机专用!B11</f>
        <v>1fe8a7ed-4592-419f-af29-42e29a1cac09</v>
      </c>
      <c r="C11" s="83" t="str">
        <f>建机专用!C11</f>
        <v>vp10.yourdomain.com</v>
      </c>
      <c r="D11" s="83" t="str">
        <f>建机专用!D11</f>
        <v>64ffw</v>
      </c>
      <c r="E11" s="113" t="str">
        <f t="shared" si="0"/>
        <v xml:space="preserve"> vless://1fe8a7ed-4592-419f-af29-42e29a1cac09@vp10.yourdomain.com:443?encryption=none&amp;security=tls&amp;type=ws&amp;host=vp10.yourdomain.com&amp;sni=vp10.yourdomain.com&amp;fp=chrome&amp;path=/64ffwws#VP10_VLESS_WS</v>
      </c>
      <c r="F11" s="113" t="str">
        <f t="shared" si="1"/>
        <v>vless://1fe8a7ed-4592-419f-af29-42e29a1cac09@vp10.yourdomain.com:443?encryption=none&amp;security=tls&amp;type=grpc&amp;host=vp10.yourdomain.com&amp;path=64ffwgrpc&amp;fp=chrome&amp;serviceName=64ffwgrpc&amp;alpn=h2&amp;sni=vp10.yourdomain.com#VP10_VLESS_gRPC</v>
      </c>
      <c r="G11" s="113" t="str">
        <f t="shared" si="2"/>
        <v>trojan://1fe8a7ed-4592-419f-af29-42e29a1cac09@vp10.yourdomain.com:443?encryption=none&amp;peer=vp10.yourdomain.com&amp;fp=chrome&amp;security=tls&amp;type=grpc&amp;sni=vp10.yourdomain.com&amp;alpn=h2&amp;path=64ffwtrojangrpc&amp;serviceName=64ffwtrojangrpc#VP10_Trojan_gRPC</v>
      </c>
    </row>
    <row r="12" spans="1:7" x14ac:dyDescent="0.25">
      <c r="A12" s="80">
        <v>11</v>
      </c>
      <c r="B12" s="81" t="str">
        <f>建机专用!B12</f>
        <v>2a30f75a-3dae-4f3a-a616-4869d9554622</v>
      </c>
      <c r="C12" s="83" t="str">
        <f>建机专用!C12</f>
        <v>vp11.yourdomain.com</v>
      </c>
      <c r="D12" s="83" t="str">
        <f>建机专用!D12</f>
        <v>64ffw</v>
      </c>
      <c r="E12" s="113" t="str">
        <f t="shared" si="0"/>
        <v xml:space="preserve"> vless://2a30f75a-3dae-4f3a-a616-4869d9554622@vp11.yourdomain.com:443?encryption=none&amp;security=tls&amp;type=ws&amp;host=vp11.yourdomain.com&amp;sni=vp11.yourdomain.com&amp;fp=chrome&amp;path=/64ffwws#VP11_VLESS_WS</v>
      </c>
      <c r="F12" s="113" t="str">
        <f t="shared" si="1"/>
        <v>vless://2a30f75a-3dae-4f3a-a616-4869d9554622@vp11.yourdomain.com:443?encryption=none&amp;security=tls&amp;type=grpc&amp;host=vp11.yourdomain.com&amp;path=64ffwgrpc&amp;fp=chrome&amp;serviceName=64ffwgrpc&amp;alpn=h2&amp;sni=vp11.yourdomain.com#VP11_VLESS_gRPC</v>
      </c>
      <c r="G12" s="113" t="str">
        <f t="shared" si="2"/>
        <v>trojan://2a30f75a-3dae-4f3a-a616-4869d9554622@vp11.yourdomain.com:443?encryption=none&amp;peer=vp11.yourdomain.com&amp;fp=chrome&amp;security=tls&amp;type=grpc&amp;sni=vp11.yourdomain.com&amp;alpn=h2&amp;path=64ffwtrojangrpc&amp;serviceName=64ffwtrojangrpc#VP11_Trojan_gRPC</v>
      </c>
    </row>
    <row r="13" spans="1:7" x14ac:dyDescent="0.25">
      <c r="A13" s="80">
        <v>12</v>
      </c>
      <c r="B13" s="81" t="str">
        <f>建机专用!B13</f>
        <v>734e3489-2992-49ac-adb4-1194ee679bb9</v>
      </c>
      <c r="C13" s="83" t="str">
        <f>建机专用!C13</f>
        <v>vp12.yourdomain.com</v>
      </c>
      <c r="D13" s="83" t="str">
        <f>建机专用!D13</f>
        <v>64ffw</v>
      </c>
      <c r="E13" s="113" t="str">
        <f t="shared" si="0"/>
        <v xml:space="preserve"> vless://734e3489-2992-49ac-adb4-1194ee679bb9@vp12.yourdomain.com:443?encryption=none&amp;security=tls&amp;type=ws&amp;host=vp12.yourdomain.com&amp;sni=vp12.yourdomain.com&amp;fp=chrome&amp;path=/64ffwws#VP12_VLESS_WS</v>
      </c>
      <c r="F13" s="113" t="str">
        <f t="shared" si="1"/>
        <v>vless://734e3489-2992-49ac-adb4-1194ee679bb9@vp12.yourdomain.com:443?encryption=none&amp;security=tls&amp;type=grpc&amp;host=vp12.yourdomain.com&amp;path=64ffwgrpc&amp;fp=chrome&amp;serviceName=64ffwgrpc&amp;alpn=h2&amp;sni=vp12.yourdomain.com#VP12_VLESS_gRPC</v>
      </c>
      <c r="G13" s="113" t="str">
        <f t="shared" si="2"/>
        <v>trojan://734e3489-2992-49ac-adb4-1194ee679bb9@vp12.yourdomain.com:443?encryption=none&amp;peer=vp12.yourdomain.com&amp;fp=chrome&amp;security=tls&amp;type=grpc&amp;sni=vp12.yourdomain.com&amp;alpn=h2&amp;path=64ffwtrojangrpc&amp;serviceName=64ffwtrojangrpc#VP12_Trojan_gRPC</v>
      </c>
    </row>
    <row r="14" spans="1:7" x14ac:dyDescent="0.25">
      <c r="A14" s="80">
        <v>13</v>
      </c>
      <c r="B14" s="81" t="str">
        <f>建机专用!B14</f>
        <v>e3dbab35-ce51-469c-abc9-bde1755ff003</v>
      </c>
      <c r="C14" s="83" t="str">
        <f>建机专用!C14</f>
        <v>vp13.yourdomain.com</v>
      </c>
      <c r="D14" s="83" t="str">
        <f>建机专用!D14</f>
        <v>64ffw</v>
      </c>
      <c r="E14" s="113" t="str">
        <f t="shared" si="0"/>
        <v xml:space="preserve"> vless://e3dbab35-ce51-469c-abc9-bde1755ff003@vp13.yourdomain.com:443?encryption=none&amp;security=tls&amp;type=ws&amp;host=vp13.yourdomain.com&amp;sni=vp13.yourdomain.com&amp;fp=chrome&amp;path=/64ffwws#VP13_VLESS_WS</v>
      </c>
      <c r="F14" s="113" t="str">
        <f t="shared" si="1"/>
        <v>vless://e3dbab35-ce51-469c-abc9-bde1755ff003@vp13.yourdomain.com:443?encryption=none&amp;security=tls&amp;type=grpc&amp;host=vp13.yourdomain.com&amp;path=64ffwgrpc&amp;fp=chrome&amp;serviceName=64ffwgrpc&amp;alpn=h2&amp;sni=vp13.yourdomain.com#VP13_VLESS_gRPC</v>
      </c>
      <c r="G14" s="113" t="str">
        <f t="shared" si="2"/>
        <v>trojan://e3dbab35-ce51-469c-abc9-bde1755ff003@vp13.yourdomain.com:443?encryption=none&amp;peer=vp13.yourdomain.com&amp;fp=chrome&amp;security=tls&amp;type=grpc&amp;sni=vp13.yourdomain.com&amp;alpn=h2&amp;path=64ffwtrojangrpc&amp;serviceName=64ffwtrojangrpc#VP13_Trojan_gRPC</v>
      </c>
    </row>
    <row r="15" spans="1:7" x14ac:dyDescent="0.25">
      <c r="A15" s="80">
        <v>14</v>
      </c>
      <c r="B15" s="81" t="str">
        <f>建机专用!B15</f>
        <v>60780c50-8c0e-40a3-b13f-9ae789445b74</v>
      </c>
      <c r="C15" s="83" t="str">
        <f>建机专用!C15</f>
        <v>vp14.yourdomain.com</v>
      </c>
      <c r="D15" s="83" t="str">
        <f>建机专用!D15</f>
        <v>64ffw</v>
      </c>
      <c r="E15" s="113" t="str">
        <f t="shared" si="0"/>
        <v xml:space="preserve"> vless://60780c50-8c0e-40a3-b13f-9ae789445b74@vp14.yourdomain.com:443?encryption=none&amp;security=tls&amp;type=ws&amp;host=vp14.yourdomain.com&amp;sni=vp14.yourdomain.com&amp;fp=chrome&amp;path=/64ffwws#VP14_VLESS_WS</v>
      </c>
      <c r="F15" s="113" t="str">
        <f t="shared" si="1"/>
        <v>vless://60780c50-8c0e-40a3-b13f-9ae789445b74@vp14.yourdomain.com:443?encryption=none&amp;security=tls&amp;type=grpc&amp;host=vp14.yourdomain.com&amp;path=64ffwgrpc&amp;fp=chrome&amp;serviceName=64ffwgrpc&amp;alpn=h2&amp;sni=vp14.yourdomain.com#VP14_VLESS_gRPC</v>
      </c>
      <c r="G15" s="113" t="str">
        <f t="shared" si="2"/>
        <v>trojan://60780c50-8c0e-40a3-b13f-9ae789445b74@vp14.yourdomain.com:443?encryption=none&amp;peer=vp14.yourdomain.com&amp;fp=chrome&amp;security=tls&amp;type=grpc&amp;sni=vp14.yourdomain.com&amp;alpn=h2&amp;path=64ffwtrojangrpc&amp;serviceName=64ffwtrojangrpc#VP14_Trojan_gRPC</v>
      </c>
    </row>
    <row r="16" spans="1:7" x14ac:dyDescent="0.25">
      <c r="A16" s="80">
        <v>15</v>
      </c>
      <c r="B16" s="81" t="str">
        <f>建机专用!B16</f>
        <v>fc0b7ecd-4fad-40ff-90da-412a4aab8ad6</v>
      </c>
      <c r="C16" s="83" t="str">
        <f>建机专用!C16</f>
        <v>vp15.yourdomain.com</v>
      </c>
      <c r="D16" s="83" t="str">
        <f>建机专用!D16</f>
        <v>64ffw</v>
      </c>
      <c r="E16" s="113" t="str">
        <f t="shared" si="0"/>
        <v xml:space="preserve"> vless://fc0b7ecd-4fad-40ff-90da-412a4aab8ad6@vp15.yourdomain.com:443?encryption=none&amp;security=tls&amp;type=ws&amp;host=vp15.yourdomain.com&amp;sni=vp15.yourdomain.com&amp;fp=chrome&amp;path=/64ffwws#VP15_VLESS_WS</v>
      </c>
      <c r="F16" s="113" t="str">
        <f t="shared" si="1"/>
        <v>vless://fc0b7ecd-4fad-40ff-90da-412a4aab8ad6@vp15.yourdomain.com:443?encryption=none&amp;security=tls&amp;type=grpc&amp;host=vp15.yourdomain.com&amp;path=64ffwgrpc&amp;fp=chrome&amp;serviceName=64ffwgrpc&amp;alpn=h2&amp;sni=vp15.yourdomain.com#VP15_VLESS_gRPC</v>
      </c>
      <c r="G16" s="113" t="str">
        <f t="shared" si="2"/>
        <v>trojan://fc0b7ecd-4fad-40ff-90da-412a4aab8ad6@vp15.yourdomain.com:443?encryption=none&amp;peer=vp15.yourdomain.com&amp;fp=chrome&amp;security=tls&amp;type=grpc&amp;sni=vp15.yourdomain.com&amp;alpn=h2&amp;path=64ffwtrojangrpc&amp;serviceName=64ffwtrojangrpc#VP15_Trojan_gRPC</v>
      </c>
    </row>
    <row r="17" spans="1:7" x14ac:dyDescent="0.25">
      <c r="A17" s="80">
        <v>16</v>
      </c>
      <c r="B17" s="81" t="str">
        <f>建机专用!B17</f>
        <v>8d76ae13-3fb3-4c5f-b5f9-738abf3bb43a</v>
      </c>
      <c r="C17" s="83" t="str">
        <f>建机专用!C17</f>
        <v>vp16.yourdomain.com</v>
      </c>
      <c r="D17" s="83" t="str">
        <f>建机专用!D17</f>
        <v>64ffw</v>
      </c>
      <c r="E17" s="113" t="str">
        <f t="shared" si="0"/>
        <v xml:space="preserve"> vless://8d76ae13-3fb3-4c5f-b5f9-738abf3bb43a@vp16.yourdomain.com:443?encryption=none&amp;security=tls&amp;type=ws&amp;host=vp16.yourdomain.com&amp;sni=vp16.yourdomain.com&amp;fp=chrome&amp;path=/64ffwws#VP16_VLESS_WS</v>
      </c>
      <c r="F17" s="113" t="str">
        <f t="shared" si="1"/>
        <v>vless://8d76ae13-3fb3-4c5f-b5f9-738abf3bb43a@vp16.yourdomain.com:443?encryption=none&amp;security=tls&amp;type=grpc&amp;host=vp16.yourdomain.com&amp;path=64ffwgrpc&amp;fp=chrome&amp;serviceName=64ffwgrpc&amp;alpn=h2&amp;sni=vp16.yourdomain.com#VP16_VLESS_gRPC</v>
      </c>
      <c r="G17" s="113" t="str">
        <f t="shared" si="2"/>
        <v>trojan://8d76ae13-3fb3-4c5f-b5f9-738abf3bb43a@vp16.yourdomain.com:443?encryption=none&amp;peer=vp16.yourdomain.com&amp;fp=chrome&amp;security=tls&amp;type=grpc&amp;sni=vp16.yourdomain.com&amp;alpn=h2&amp;path=64ffwtrojangrpc&amp;serviceName=64ffwtrojangrpc#VP16_Trojan_gRPC</v>
      </c>
    </row>
    <row r="18" spans="1:7" x14ac:dyDescent="0.25">
      <c r="A18" s="80">
        <v>17</v>
      </c>
      <c r="B18" s="81" t="str">
        <f>建机专用!B18</f>
        <v>5cda6eca-aa92-4030-9fb4-7259bfbce5d7</v>
      </c>
      <c r="C18" s="83" t="str">
        <f>建机专用!C18</f>
        <v>vp17.yourdomain.com</v>
      </c>
      <c r="D18" s="83" t="str">
        <f>建机专用!D18</f>
        <v>64ffw</v>
      </c>
      <c r="E18" s="113" t="str">
        <f t="shared" si="0"/>
        <v xml:space="preserve"> vless://5cda6eca-aa92-4030-9fb4-7259bfbce5d7@vp17.yourdomain.com:443?encryption=none&amp;security=tls&amp;type=ws&amp;host=vp17.yourdomain.com&amp;sni=vp17.yourdomain.com&amp;fp=chrome&amp;path=/64ffwws#VP17_VLESS_WS</v>
      </c>
      <c r="F18" s="113" t="str">
        <f t="shared" si="1"/>
        <v>vless://5cda6eca-aa92-4030-9fb4-7259bfbce5d7@vp17.yourdomain.com:443?encryption=none&amp;security=tls&amp;type=grpc&amp;host=vp17.yourdomain.com&amp;path=64ffwgrpc&amp;fp=chrome&amp;serviceName=64ffwgrpc&amp;alpn=h2&amp;sni=vp17.yourdomain.com#VP17_VLESS_gRPC</v>
      </c>
      <c r="G18" s="113" t="str">
        <f t="shared" si="2"/>
        <v>trojan://5cda6eca-aa92-4030-9fb4-7259bfbce5d7@vp17.yourdomain.com:443?encryption=none&amp;peer=vp17.yourdomain.com&amp;fp=chrome&amp;security=tls&amp;type=grpc&amp;sni=vp17.yourdomain.com&amp;alpn=h2&amp;path=64ffwtrojangrpc&amp;serviceName=64ffwtrojangrpc#VP17_Trojan_gRPC</v>
      </c>
    </row>
    <row r="19" spans="1:7" x14ac:dyDescent="0.25">
      <c r="A19" s="80">
        <v>18</v>
      </c>
      <c r="B19" s="81" t="str">
        <f>建机专用!B19</f>
        <v>52bc0849-d32e-4c9b-a912-b48ecfb14088</v>
      </c>
      <c r="C19" s="83" t="str">
        <f>建机专用!C19</f>
        <v>vp18.yourdomain.com</v>
      </c>
      <c r="D19" s="83" t="str">
        <f>建机专用!D19</f>
        <v>64ffw</v>
      </c>
      <c r="E19" s="113" t="str">
        <f t="shared" si="0"/>
        <v xml:space="preserve"> vless://52bc0849-d32e-4c9b-a912-b48ecfb14088@vp18.yourdomain.com:443?encryption=none&amp;security=tls&amp;type=ws&amp;host=vp18.yourdomain.com&amp;sni=vp18.yourdomain.com&amp;fp=chrome&amp;path=/64ffwws#VP18_VLESS_WS</v>
      </c>
      <c r="F19" s="113" t="str">
        <f t="shared" si="1"/>
        <v>vless://52bc0849-d32e-4c9b-a912-b48ecfb14088@vp18.yourdomain.com:443?encryption=none&amp;security=tls&amp;type=grpc&amp;host=vp18.yourdomain.com&amp;path=64ffwgrpc&amp;fp=chrome&amp;serviceName=64ffwgrpc&amp;alpn=h2&amp;sni=vp18.yourdomain.com#VP18_VLESS_gRPC</v>
      </c>
      <c r="G19" s="113" t="str">
        <f t="shared" si="2"/>
        <v>trojan://52bc0849-d32e-4c9b-a912-b48ecfb14088@vp18.yourdomain.com:443?encryption=none&amp;peer=vp18.yourdomain.com&amp;fp=chrome&amp;security=tls&amp;type=grpc&amp;sni=vp18.yourdomain.com&amp;alpn=h2&amp;path=64ffwtrojangrpc&amp;serviceName=64ffwtrojangrpc#VP18_Trojan_gRPC</v>
      </c>
    </row>
    <row r="20" spans="1:7" x14ac:dyDescent="0.25">
      <c r="A20" s="80">
        <v>19</v>
      </c>
      <c r="B20" s="81" t="str">
        <f>建机专用!B20</f>
        <v>46fe4ecf-2877-4ae0-9375-b055e0fa257c</v>
      </c>
      <c r="C20" s="83" t="str">
        <f>建机专用!C20</f>
        <v>vp19.yourdomain.com</v>
      </c>
      <c r="D20" s="83" t="str">
        <f>建机专用!D20</f>
        <v>64ffw</v>
      </c>
      <c r="E20" s="113" t="str">
        <f t="shared" ref="E20:E21" si="3">" vless://"&amp;B20&amp;"@"&amp;C20&amp;":443?encryption=none&amp;security=tls&amp;type=ws&amp;host="&amp;C20&amp;"&amp;sni="&amp;C20&amp;"&amp;fp=chrome&amp;path=/"&amp;D20&amp;"ws#"&amp;UPPER(LEFT(C20,FIND(".",C20)-1))&amp;"_VLESS_WS"</f>
        <v xml:space="preserve"> vless://46fe4ecf-2877-4ae0-9375-b055e0fa257c@vp19.yourdomain.com:443?encryption=none&amp;security=tls&amp;type=ws&amp;host=vp19.yourdomain.com&amp;sni=vp19.yourdomain.com&amp;fp=chrome&amp;path=/64ffwws#VP19_VLESS_WS</v>
      </c>
      <c r="F20" s="113" t="str">
        <f t="shared" ref="F20:F21" si="4">"vless://"&amp;B20&amp;"@"&amp;C20&amp;":443?encryption=none&amp;security=tls&amp;type=grpc&amp;host="&amp;C20&amp;"&amp;path="&amp;D20&amp;"grpc&amp;fp=chrome&amp;serviceName="&amp;D20&amp;"grpc&amp;alpn=h2&amp;sni="&amp;C20&amp;"#"&amp;UPPER(LEFT(C20,FIND(".",C20)-1))&amp;"_VLESS_gRPC"</f>
        <v>vless://46fe4ecf-2877-4ae0-9375-b055e0fa257c@vp19.yourdomain.com:443?encryption=none&amp;security=tls&amp;type=grpc&amp;host=vp19.yourdomain.com&amp;path=64ffwgrpc&amp;fp=chrome&amp;serviceName=64ffwgrpc&amp;alpn=h2&amp;sni=vp19.yourdomain.com#VP19_VLESS_gRPC</v>
      </c>
      <c r="G20" s="113" t="str">
        <f t="shared" ref="G20:G21" si="5">"trojan://"&amp;B20&amp;"@"&amp;C20&amp;":443?encryption=none&amp;peer="&amp;C20&amp;"&amp;fp=chrome&amp;security=tls&amp;type=grpc&amp;sni="&amp;C20&amp;"&amp;alpn=h2&amp;path="&amp;D20&amp;"trojangrpc&amp;serviceName="&amp;D20&amp;"trojangrpc#"&amp;UPPER(LEFT(C20,FIND(".",C20)-1))&amp;"_Trojan_gRPC"</f>
        <v>trojan://46fe4ecf-2877-4ae0-9375-b055e0fa257c@vp19.yourdomain.com:443?encryption=none&amp;peer=vp19.yourdomain.com&amp;fp=chrome&amp;security=tls&amp;type=grpc&amp;sni=vp19.yourdomain.com&amp;alpn=h2&amp;path=64ffwtrojangrpc&amp;serviceName=64ffwtrojangrpc#VP19_Trojan_gRPC</v>
      </c>
    </row>
    <row r="21" spans="1:7" x14ac:dyDescent="0.25">
      <c r="A21" s="80">
        <v>20</v>
      </c>
      <c r="B21" s="81" t="str">
        <f>建机专用!B21</f>
        <v>a9b08f59-119f-4700-ab2a-5a60f0563206</v>
      </c>
      <c r="C21" s="83" t="str">
        <f>建机专用!C21</f>
        <v>vp20.yourdomain.com</v>
      </c>
      <c r="D21" s="83" t="str">
        <f>建机专用!D21</f>
        <v>64ffw</v>
      </c>
      <c r="E21" s="113" t="str">
        <f t="shared" si="3"/>
        <v xml:space="preserve"> vless://a9b08f59-119f-4700-ab2a-5a60f0563206@vp20.yourdomain.com:443?encryption=none&amp;security=tls&amp;type=ws&amp;host=vp20.yourdomain.com&amp;sni=vp20.yourdomain.com&amp;fp=chrome&amp;path=/64ffwws#VP20_VLESS_WS</v>
      </c>
      <c r="F21" s="113" t="str">
        <f t="shared" si="4"/>
        <v>vless://a9b08f59-119f-4700-ab2a-5a60f0563206@vp20.yourdomain.com:443?encryption=none&amp;security=tls&amp;type=grpc&amp;host=vp20.yourdomain.com&amp;path=64ffwgrpc&amp;fp=chrome&amp;serviceName=64ffwgrpc&amp;alpn=h2&amp;sni=vp20.yourdomain.com#VP20_VLESS_gRPC</v>
      </c>
      <c r="G21" s="113" t="str">
        <f t="shared" si="5"/>
        <v>trojan://a9b08f59-119f-4700-ab2a-5a60f0563206@vp20.yourdomain.com:443?encryption=none&amp;peer=vp20.yourdomain.com&amp;fp=chrome&amp;security=tls&amp;type=grpc&amp;sni=vp20.yourdomain.com&amp;alpn=h2&amp;path=64ffwtrojangrpc&amp;serviceName=64ffwtrojangrpc#VP20_Trojan_gRPC</v>
      </c>
    </row>
    <row r="22" spans="1:7" ht="3" customHeight="1" x14ac:dyDescent="0.25">
      <c r="A22" s="87"/>
      <c r="B22" s="93"/>
      <c r="C22" s="90"/>
      <c r="D22" s="93"/>
      <c r="E22" s="92"/>
      <c r="F22" s="92"/>
      <c r="G22" s="92"/>
    </row>
    <row r="24" spans="1:7" x14ac:dyDescent="0.25">
      <c r="B24" s="162" t="s">
        <v>459</v>
      </c>
      <c r="C24" s="160" t="s">
        <v>4</v>
      </c>
      <c r="D24" s="160"/>
      <c r="E24" s="160"/>
      <c r="F24" s="160"/>
      <c r="G24" s="160"/>
    </row>
    <row r="25" spans="1:7" x14ac:dyDescent="0.25">
      <c r="B25" s="162"/>
      <c r="C25" s="160" t="s">
        <v>5</v>
      </c>
      <c r="D25" s="160"/>
      <c r="E25" s="160"/>
      <c r="F25" s="160"/>
      <c r="G25" s="160"/>
    </row>
    <row r="26" spans="1:7" ht="4.95" customHeight="1" x14ac:dyDescent="0.25">
      <c r="B26" s="162"/>
      <c r="C26" s="108"/>
      <c r="D26" s="108"/>
      <c r="E26" s="114"/>
      <c r="F26" s="114"/>
      <c r="G26" s="114"/>
    </row>
    <row r="27" spans="1:7" x14ac:dyDescent="0.25">
      <c r="B27" s="162"/>
      <c r="C27" s="161" t="s">
        <v>6</v>
      </c>
      <c r="D27" s="161"/>
      <c r="E27" s="161"/>
      <c r="F27" s="161"/>
      <c r="G27" s="161"/>
    </row>
    <row r="28" spans="1:7" ht="4.95" customHeight="1" x14ac:dyDescent="0.25">
      <c r="B28" s="162"/>
      <c r="C28" s="108"/>
      <c r="D28" s="108"/>
      <c r="E28" s="114"/>
      <c r="F28" s="114"/>
      <c r="G28" s="114"/>
    </row>
    <row r="29" spans="1:7" x14ac:dyDescent="0.25">
      <c r="C29" s="115" t="s">
        <v>9</v>
      </c>
      <c r="D29" s="115"/>
      <c r="E29" s="114"/>
      <c r="F29" s="114"/>
      <c r="G29" s="114"/>
    </row>
    <row r="30" spans="1:7" ht="4.95" customHeight="1" x14ac:dyDescent="0.25">
      <c r="C30" s="108"/>
      <c r="D30" s="108"/>
      <c r="E30" s="114"/>
      <c r="F30" s="114"/>
      <c r="G30" s="114"/>
    </row>
    <row r="31" spans="1:7" x14ac:dyDescent="0.25">
      <c r="C31" s="111" t="s">
        <v>22</v>
      </c>
      <c r="D31" s="108"/>
      <c r="E31" s="114"/>
      <c r="F31" s="114"/>
      <c r="G31" s="114"/>
    </row>
    <row r="32" spans="1:7" x14ac:dyDescent="0.25">
      <c r="C32" s="111" t="s">
        <v>23</v>
      </c>
      <c r="D32" s="108"/>
      <c r="E32" s="114"/>
      <c r="F32" s="114"/>
      <c r="G32" s="114"/>
    </row>
    <row r="33" spans="3:7" x14ac:dyDescent="0.25">
      <c r="C33" s="111" t="s">
        <v>21</v>
      </c>
      <c r="D33" s="108"/>
      <c r="E33" s="114"/>
      <c r="F33" s="114"/>
      <c r="G33" s="114"/>
    </row>
    <row r="34" spans="3:7" ht="4.95" customHeight="1" x14ac:dyDescent="0.25">
      <c r="C34" s="108"/>
      <c r="D34" s="108"/>
      <c r="E34" s="114"/>
      <c r="F34" s="114"/>
      <c r="G34" s="114"/>
    </row>
    <row r="35" spans="3:7" x14ac:dyDescent="0.25">
      <c r="C35" s="116"/>
      <c r="D35" s="108" t="s">
        <v>27</v>
      </c>
      <c r="E35" s="114"/>
      <c r="F35" s="114"/>
      <c r="G35" s="114"/>
    </row>
    <row r="36" spans="3:7" ht="4.95" customHeight="1" x14ac:dyDescent="0.25">
      <c r="C36" s="108"/>
      <c r="D36" s="108"/>
      <c r="E36" s="114"/>
      <c r="F36" s="114"/>
      <c r="G36" s="114"/>
    </row>
    <row r="37" spans="3:7" ht="15.6" x14ac:dyDescent="0.25">
      <c r="C37" s="117" t="s">
        <v>28</v>
      </c>
      <c r="D37" s="108"/>
      <c r="E37" s="114"/>
      <c r="F37" s="114"/>
      <c r="G37" s="114"/>
    </row>
  </sheetData>
  <sheetProtection algorithmName="SHA-512" hashValue="WnL2Gngml1FwRAvj5wh+QvtpmbBC8N6OKr/FZ/VqFGjhw/HU9lxu52gh0jwpNI28ZlG73PJIwUbeD5CFwZq4Ng==" saltValue="1/KH9+6CTpO84kGipfwJWA==" spinCount="100000" sheet="1" objects="1" scenarios="1"/>
  <mergeCells count="4">
    <mergeCell ref="C24:G24"/>
    <mergeCell ref="C25:G25"/>
    <mergeCell ref="C27:G27"/>
    <mergeCell ref="B24:B28"/>
  </mergeCells>
  <phoneticPr fontId="7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36290-48BB-4F68-A9A7-F4B58C017074}">
  <sheetPr codeName="Sheet3"/>
  <dimension ref="A1:H34"/>
  <sheetViews>
    <sheetView workbookViewId="0">
      <pane ySplit="1" topLeftCell="A2" activePane="bottomLeft" state="frozen"/>
      <selection pane="bottomLeft" activeCell="D15" sqref="D15"/>
    </sheetView>
  </sheetViews>
  <sheetFormatPr defaultRowHeight="13.8" x14ac:dyDescent="0.25"/>
  <cols>
    <col min="1" max="1" width="3" style="104" bestFit="1" customWidth="1"/>
    <col min="2" max="2" width="37.77734375" style="86" customWidth="1"/>
    <col min="3" max="3" width="12.77734375" style="105" customWidth="1"/>
    <col min="4" max="4" width="9.77734375" style="105" customWidth="1"/>
    <col min="5" max="5" width="19.33203125" style="105" customWidth="1"/>
    <col min="6" max="6" width="21.5546875" style="105" customWidth="1"/>
    <col min="7" max="8" width="40.77734375" style="106" customWidth="1"/>
    <col min="9" max="16384" width="8.88671875" style="86"/>
  </cols>
  <sheetData>
    <row r="1" spans="1:8" s="102" customFormat="1" ht="15.6" x14ac:dyDescent="0.25">
      <c r="A1" s="98" t="str">
        <f>建机专用!A1</f>
        <v>序</v>
      </c>
      <c r="B1" s="98" t="str">
        <f>建机专用!B1</f>
        <v>密码/UUID</v>
      </c>
      <c r="C1" s="98" t="str">
        <f>建机专用!C1</f>
        <v>域名</v>
      </c>
      <c r="D1" s="98" t="str">
        <f>建机专用!D1</f>
        <v>PATH</v>
      </c>
      <c r="E1" s="98" t="s">
        <v>13</v>
      </c>
      <c r="F1" s="98" t="s">
        <v>14</v>
      </c>
      <c r="G1" s="99" t="s">
        <v>15</v>
      </c>
      <c r="H1" s="99" t="s">
        <v>16</v>
      </c>
    </row>
    <row r="2" spans="1:8" x14ac:dyDescent="0.25">
      <c r="A2" s="80">
        <v>1</v>
      </c>
      <c r="B2" s="81" t="str">
        <f>建机专用!B2</f>
        <v>adb45e76-b0e7-4c0b-90b7-8c41a9e04e51</v>
      </c>
      <c r="C2" s="83" t="str">
        <f>建机专用!C2</f>
        <v>vp1.yourdomain.com</v>
      </c>
      <c r="D2" s="83" t="str">
        <f>IF(建机专用!D2&lt;&gt;"",建机专用!D2,"")</f>
        <v>64ffw</v>
      </c>
      <c r="E2" s="83" t="str">
        <f>IF(建机专用!E2&lt;&gt;"",建机专用!E2,"")</f>
        <v>cf02.e6w.eu.org</v>
      </c>
      <c r="F2" s="83" t="str">
        <f>IF(建机专用!F2&lt;&gt;"",建机专用!F2,"")</f>
        <v>vp1.dadfe.edu.cn</v>
      </c>
      <c r="G2" s="84" t="str">
        <f>"vmess="&amp;IF(E2="",C2,E2)&amp;":443, method=aes-128-gcm, password="&amp;B2&amp;", obfs=wss, obfs-host="&amp;C2&amp;", obfs-uri=/"&amp;D2&amp;"vws, tls-verification=false, fast-open=false, udp-relay=false, aead=true, tag="&amp;"_"&amp;UPPER(LEFT(C2,FIND(".",C2)-1))&amp;"_VMESS_WS"</f>
        <v>vmess=cf02.e6w.eu.org:443, method=aes-128-gcm, password=adb45e76-b0e7-4c0b-90b7-8c41a9e04e51, obfs=wss, obfs-host=vp1.yourdomain.com, obfs-uri=/64ffwvws, tls-verification=false, fast-open=false, udp-relay=false, aead=true, tag=_VP1_VMESS_WS</v>
      </c>
      <c r="H2" s="84" t="str">
        <f>"trojan="&amp;IF(F2="",C2,F2)&amp;":443, password="&amp;B2&amp;", over-tls=true, tls-host="&amp;C2&amp;", tls-verification=false, fast-open=false, udp-relay=false, tag="&amp;"_"&amp;UPPER(LEFT(C2,FIND(".",C2)-1))&amp;"_Trojan"</f>
        <v>trojan=vp1.dadfe.edu.cn:443, password=adb45e76-b0e7-4c0b-90b7-8c41a9e04e51, over-tls=true, tls-host=vp1.yourdomain.com, tls-verification=false, fast-open=false, udp-relay=false, tag=_VP1_Trojan</v>
      </c>
    </row>
    <row r="3" spans="1:8" x14ac:dyDescent="0.25">
      <c r="A3" s="80">
        <v>2</v>
      </c>
      <c r="B3" s="81" t="str">
        <f>建机专用!B3</f>
        <v>8b224414-a49a-4bd4-85ac-2fb4e65133a2</v>
      </c>
      <c r="C3" s="83" t="str">
        <f>建机专用!C3</f>
        <v>vp2.yourdomain.com</v>
      </c>
      <c r="D3" s="83" t="str">
        <f>建机专用!D3</f>
        <v>64ffw</v>
      </c>
      <c r="E3" s="83" t="str">
        <f>IF(建机专用!E3&lt;&gt;"",建机专用!E3,"")</f>
        <v>cf02.e7w.eu.org</v>
      </c>
      <c r="F3" s="83" t="str">
        <f>IF(建机专用!F3&lt;&gt;"",建机专用!F3,"")</f>
        <v>vp2.dadfe.edu.cn</v>
      </c>
      <c r="G3" s="84" t="str">
        <f t="shared" ref="G3:G21" si="0">"vmess="&amp;IF(E3="",C3,E3)&amp;":443, method=aes-128-gcm, password="&amp;B3&amp;", obfs=wss, obfs-host="&amp;C3&amp;", obfs-uri=/"&amp;D3&amp;"vws, tls-verification=false, fast-open=false, udp-relay=false, aead=true, tag="&amp;"_"&amp;UPPER(LEFT(C3,FIND(".",C3)-1))&amp;"_VMESS_WS"</f>
        <v>vmess=cf02.e7w.eu.org:443, method=aes-128-gcm, password=8b224414-a49a-4bd4-85ac-2fb4e65133a2, obfs=wss, obfs-host=vp2.yourdomain.com, obfs-uri=/64ffwvws, tls-verification=false, fast-open=false, udp-relay=false, aead=true, tag=_VP2_VMESS_WS</v>
      </c>
      <c r="H3" s="84" t="str">
        <f t="shared" ref="H3:H21" si="1">"trojan="&amp;IF(F3="",C3,F3)&amp;":443, password="&amp;B3&amp;", over-tls=true, tls-host="&amp;C3&amp;", tls-verification=false, fast-open=false, udp-relay=false, tag="&amp;"_"&amp;UPPER(LEFT(C3,FIND(".",C3)-1))&amp;"_Trojan"</f>
        <v>trojan=vp2.dadfe.edu.cn:443, password=8b224414-a49a-4bd4-85ac-2fb4e65133a2, over-tls=true, tls-host=vp2.yourdomain.com, tls-verification=false, fast-open=false, udp-relay=false, tag=_VP2_Trojan</v>
      </c>
    </row>
    <row r="4" spans="1:8" x14ac:dyDescent="0.25">
      <c r="A4" s="80">
        <v>3</v>
      </c>
      <c r="B4" s="81" t="str">
        <f>建机专用!B4</f>
        <v>e514eace-f7fc-4689-9547-91b810c9b906</v>
      </c>
      <c r="C4" s="83" t="str">
        <f>建机专用!C4</f>
        <v>vp3.yourdomain.com</v>
      </c>
      <c r="D4" s="83" t="str">
        <f>建机专用!D4</f>
        <v>64ffw</v>
      </c>
      <c r="E4" s="83" t="str">
        <f>IF(建机专用!E4&lt;&gt;"",建机专用!E4,"")</f>
        <v>cf02.e8w.eu.org</v>
      </c>
      <c r="F4" s="83" t="str">
        <f>IF(建机专用!F4&lt;&gt;"",建机专用!F4,"")</f>
        <v>vp3.dadfe.edu.cn</v>
      </c>
      <c r="G4" s="84" t="str">
        <f t="shared" si="0"/>
        <v>vmess=cf02.e8w.eu.org:443, method=aes-128-gcm, password=e514eace-f7fc-4689-9547-91b810c9b906, obfs=wss, obfs-host=vp3.yourdomain.com, obfs-uri=/64ffwvws, tls-verification=false, fast-open=false, udp-relay=false, aead=true, tag=_VP3_VMESS_WS</v>
      </c>
      <c r="H4" s="84" t="str">
        <f t="shared" si="1"/>
        <v>trojan=vp3.dadfe.edu.cn:443, password=e514eace-f7fc-4689-9547-91b810c9b906, over-tls=true, tls-host=vp3.yourdomain.com, tls-verification=false, fast-open=false, udp-relay=false, tag=_VP3_Trojan</v>
      </c>
    </row>
    <row r="5" spans="1:8" x14ac:dyDescent="0.25">
      <c r="A5" s="80">
        <v>4</v>
      </c>
      <c r="B5" s="81" t="str">
        <f>建机专用!B5</f>
        <v>15c2d187-dd1a-403a-a450-ddfbcb929556</v>
      </c>
      <c r="C5" s="83" t="str">
        <f>建机专用!C5</f>
        <v>vp4.yourdomain.com</v>
      </c>
      <c r="D5" s="83" t="str">
        <f>建机专用!D5</f>
        <v>64ffw</v>
      </c>
      <c r="E5" s="83" t="str">
        <f>IF(建机专用!E5&lt;&gt;"",建机专用!E5,"")</f>
        <v>cf02.e9w.eu.org</v>
      </c>
      <c r="F5" s="83" t="str">
        <f>IF(建机专用!F5&lt;&gt;"",建机专用!F5,"")</f>
        <v>vp4.dadfe.edu.cn</v>
      </c>
      <c r="G5" s="84" t="str">
        <f t="shared" si="0"/>
        <v>vmess=cf02.e9w.eu.org:443, method=aes-128-gcm, password=15c2d187-dd1a-403a-a450-ddfbcb929556, obfs=wss, obfs-host=vp4.yourdomain.com, obfs-uri=/64ffwvws, tls-verification=false, fast-open=false, udp-relay=false, aead=true, tag=_VP4_VMESS_WS</v>
      </c>
      <c r="H5" s="84" t="str">
        <f t="shared" si="1"/>
        <v>trojan=vp4.dadfe.edu.cn:443, password=15c2d187-dd1a-403a-a450-ddfbcb929556, over-tls=true, tls-host=vp4.yourdomain.com, tls-verification=false, fast-open=false, udp-relay=false, tag=_VP4_Trojan</v>
      </c>
    </row>
    <row r="6" spans="1:8" x14ac:dyDescent="0.25">
      <c r="A6" s="80">
        <v>5</v>
      </c>
      <c r="B6" s="81" t="str">
        <f>建机专用!B6</f>
        <v>6c026dff-3464-4737-9416-9b5a014b85fa</v>
      </c>
      <c r="C6" s="83" t="str">
        <f>建机专用!C6</f>
        <v>vp5.yourdomain.com</v>
      </c>
      <c r="D6" s="83" t="str">
        <f>建机专用!D6</f>
        <v>64ffw</v>
      </c>
      <c r="E6" s="83" t="str">
        <f>IF(建机专用!E6&lt;&gt;"",建机专用!E6,"")</f>
        <v>cf02.e10w.eu.org</v>
      </c>
      <c r="F6" s="83" t="str">
        <f>IF(建机专用!F6&lt;&gt;"",建机专用!F6,"")</f>
        <v>vp5.dadfe.edu.cn</v>
      </c>
      <c r="G6" s="84" t="str">
        <f t="shared" si="0"/>
        <v>vmess=cf02.e10w.eu.org:443, method=aes-128-gcm, password=6c026dff-3464-4737-9416-9b5a014b85fa, obfs=wss, obfs-host=vp5.yourdomain.com, obfs-uri=/64ffwvws, tls-verification=false, fast-open=false, udp-relay=false, aead=true, tag=_VP5_VMESS_WS</v>
      </c>
      <c r="H6" s="84" t="str">
        <f t="shared" si="1"/>
        <v>trojan=vp5.dadfe.edu.cn:443, password=6c026dff-3464-4737-9416-9b5a014b85fa, over-tls=true, tls-host=vp5.yourdomain.com, tls-verification=false, fast-open=false, udp-relay=false, tag=_VP5_Trojan</v>
      </c>
    </row>
    <row r="7" spans="1:8" x14ac:dyDescent="0.25">
      <c r="A7" s="80">
        <v>6</v>
      </c>
      <c r="B7" s="81" t="str">
        <f>建机专用!B7</f>
        <v>fb1e92e5-4abf-404f-9234-067284ac145b</v>
      </c>
      <c r="C7" s="83" t="str">
        <f>建机专用!C7</f>
        <v>vp6.yourdomain.com</v>
      </c>
      <c r="D7" s="83" t="str">
        <f>建机专用!D7</f>
        <v>64ffw</v>
      </c>
      <c r="E7" s="83" t="str">
        <f>IF(建机专用!E7&lt;&gt;"",建机专用!E7,"")</f>
        <v>cf02.e11w.eu.org</v>
      </c>
      <c r="F7" s="83" t="str">
        <f>IF(建机专用!F7&lt;&gt;"",建机专用!F7,"")</f>
        <v>vp6.dadfe.edu.cn</v>
      </c>
      <c r="G7" s="84" t="str">
        <f t="shared" si="0"/>
        <v>vmess=cf02.e11w.eu.org:443, method=aes-128-gcm, password=fb1e92e5-4abf-404f-9234-067284ac145b, obfs=wss, obfs-host=vp6.yourdomain.com, obfs-uri=/64ffwvws, tls-verification=false, fast-open=false, udp-relay=false, aead=true, tag=_VP6_VMESS_WS</v>
      </c>
      <c r="H7" s="84" t="str">
        <f t="shared" si="1"/>
        <v>trojan=vp6.dadfe.edu.cn:443, password=fb1e92e5-4abf-404f-9234-067284ac145b, over-tls=true, tls-host=vp6.yourdomain.com, tls-verification=false, fast-open=false, udp-relay=false, tag=_VP6_Trojan</v>
      </c>
    </row>
    <row r="8" spans="1:8" x14ac:dyDescent="0.25">
      <c r="A8" s="80">
        <v>7</v>
      </c>
      <c r="B8" s="81" t="str">
        <f>建机专用!B8</f>
        <v>516e96cc-bd80-4ce7-bcd2-fea79effabbf</v>
      </c>
      <c r="C8" s="83" t="str">
        <f>建机专用!C8</f>
        <v>vp7.yourdomain.com</v>
      </c>
      <c r="D8" s="83" t="str">
        <f>建机专用!D8</f>
        <v>64ffw</v>
      </c>
      <c r="E8" s="83" t="str">
        <f>IF(建机专用!E8&lt;&gt;"",建机专用!E8,"")</f>
        <v>cf02.e12w.eu.org</v>
      </c>
      <c r="F8" s="83" t="str">
        <f>IF(建机专用!F8&lt;&gt;"",建机专用!F8,"")</f>
        <v>vp7.dadfe.edu.cn</v>
      </c>
      <c r="G8" s="84" t="str">
        <f t="shared" si="0"/>
        <v>vmess=cf02.e12w.eu.org:443, method=aes-128-gcm, password=516e96cc-bd80-4ce7-bcd2-fea79effabbf, obfs=wss, obfs-host=vp7.yourdomain.com, obfs-uri=/64ffwvws, tls-verification=false, fast-open=false, udp-relay=false, aead=true, tag=_VP7_VMESS_WS</v>
      </c>
      <c r="H8" s="84" t="str">
        <f t="shared" si="1"/>
        <v>trojan=vp7.dadfe.edu.cn:443, password=516e96cc-bd80-4ce7-bcd2-fea79effabbf, over-tls=true, tls-host=vp7.yourdomain.com, tls-verification=false, fast-open=false, udp-relay=false, tag=_VP7_Trojan</v>
      </c>
    </row>
    <row r="9" spans="1:8" x14ac:dyDescent="0.25">
      <c r="A9" s="80">
        <v>8</v>
      </c>
      <c r="B9" s="81" t="str">
        <f>建机专用!B9</f>
        <v>9af20f09-1deb-4d65-b548-69a88235d502</v>
      </c>
      <c r="C9" s="83" t="str">
        <f>建机专用!C9</f>
        <v>vp8.yourdomain.com</v>
      </c>
      <c r="D9" s="83" t="str">
        <f>建机专用!D9</f>
        <v>64ffw</v>
      </c>
      <c r="E9" s="83" t="str">
        <f>IF(建机专用!E9&lt;&gt;"",建机专用!E9,"")</f>
        <v>cf02.e13w.eu.org</v>
      </c>
      <c r="F9" s="83" t="str">
        <f>IF(建机专用!F9&lt;&gt;"",建机专用!F9,"")</f>
        <v>vp8.dadfe.edu.cn</v>
      </c>
      <c r="G9" s="84" t="str">
        <f t="shared" si="0"/>
        <v>vmess=cf02.e13w.eu.org:443, method=aes-128-gcm, password=9af20f09-1deb-4d65-b548-69a88235d502, obfs=wss, obfs-host=vp8.yourdomain.com, obfs-uri=/64ffwvws, tls-verification=false, fast-open=false, udp-relay=false, aead=true, tag=_VP8_VMESS_WS</v>
      </c>
      <c r="H9" s="84" t="str">
        <f t="shared" si="1"/>
        <v>trojan=vp8.dadfe.edu.cn:443, password=9af20f09-1deb-4d65-b548-69a88235d502, over-tls=true, tls-host=vp8.yourdomain.com, tls-verification=false, fast-open=false, udp-relay=false, tag=_VP8_Trojan</v>
      </c>
    </row>
    <row r="10" spans="1:8" x14ac:dyDescent="0.25">
      <c r="A10" s="80">
        <v>9</v>
      </c>
      <c r="B10" s="81" t="str">
        <f>建机专用!B10</f>
        <v>cfef338c-1622-49f3-90e2-55a2b3a9ce4c</v>
      </c>
      <c r="C10" s="83" t="str">
        <f>建机专用!C10</f>
        <v>vp9.yourdomain.com</v>
      </c>
      <c r="D10" s="83" t="str">
        <f>建机专用!D10</f>
        <v>64ffw</v>
      </c>
      <c r="E10" s="83" t="str">
        <f>IF(建机专用!E10&lt;&gt;"",建机专用!E10,"")</f>
        <v>cf02.e14w.eu.org</v>
      </c>
      <c r="F10" s="83" t="str">
        <f>IF(建机专用!F10&lt;&gt;"",建机专用!F10,"")</f>
        <v>vp9.dadfe.edu.cn</v>
      </c>
      <c r="G10" s="84" t="str">
        <f t="shared" si="0"/>
        <v>vmess=cf02.e14w.eu.org:443, method=aes-128-gcm, password=cfef338c-1622-49f3-90e2-55a2b3a9ce4c, obfs=wss, obfs-host=vp9.yourdomain.com, obfs-uri=/64ffwvws, tls-verification=false, fast-open=false, udp-relay=false, aead=true, tag=_VP9_VMESS_WS</v>
      </c>
      <c r="H10" s="84" t="str">
        <f t="shared" si="1"/>
        <v>trojan=vp9.dadfe.edu.cn:443, password=cfef338c-1622-49f3-90e2-55a2b3a9ce4c, over-tls=true, tls-host=vp9.yourdomain.com, tls-verification=false, fast-open=false, udp-relay=false, tag=_VP9_Trojan</v>
      </c>
    </row>
    <row r="11" spans="1:8" x14ac:dyDescent="0.25">
      <c r="A11" s="80">
        <v>10</v>
      </c>
      <c r="B11" s="81" t="str">
        <f>建机专用!B11</f>
        <v>1fe8a7ed-4592-419f-af29-42e29a1cac09</v>
      </c>
      <c r="C11" s="83" t="str">
        <f>建机专用!C11</f>
        <v>vp10.yourdomain.com</v>
      </c>
      <c r="D11" s="83" t="str">
        <f>建机专用!D11</f>
        <v>64ffw</v>
      </c>
      <c r="E11" s="83" t="str">
        <f>IF(建机专用!E11&lt;&gt;"",建机专用!E11,"")</f>
        <v>cf02.e15w.eu.org</v>
      </c>
      <c r="F11" s="83" t="str">
        <f>IF(建机专用!F11&lt;&gt;"",建机专用!F11,"")</f>
        <v>vp10.dadfe.edu.cn</v>
      </c>
      <c r="G11" s="84" t="str">
        <f t="shared" si="0"/>
        <v>vmess=cf02.e15w.eu.org:443, method=aes-128-gcm, password=1fe8a7ed-4592-419f-af29-42e29a1cac09, obfs=wss, obfs-host=vp10.yourdomain.com, obfs-uri=/64ffwvws, tls-verification=false, fast-open=false, udp-relay=false, aead=true, tag=_VP10_VMESS_WS</v>
      </c>
      <c r="H11" s="84" t="str">
        <f t="shared" si="1"/>
        <v>trojan=vp10.dadfe.edu.cn:443, password=1fe8a7ed-4592-419f-af29-42e29a1cac09, over-tls=true, tls-host=vp10.yourdomain.com, tls-verification=false, fast-open=false, udp-relay=false, tag=_VP10_Trojan</v>
      </c>
    </row>
    <row r="12" spans="1:8" x14ac:dyDescent="0.25">
      <c r="A12" s="80">
        <v>11</v>
      </c>
      <c r="B12" s="81" t="str">
        <f>建机专用!B12</f>
        <v>2a30f75a-3dae-4f3a-a616-4869d9554622</v>
      </c>
      <c r="C12" s="83" t="str">
        <f>建机专用!C12</f>
        <v>vp11.yourdomain.com</v>
      </c>
      <c r="D12" s="83" t="str">
        <f>建机专用!D12</f>
        <v>64ffw</v>
      </c>
      <c r="E12" s="83" t="str">
        <f>IF(建机专用!E12&lt;&gt;"",建机专用!E12,"")</f>
        <v>cf02.e16w.eu.org</v>
      </c>
      <c r="F12" s="83" t="str">
        <f>IF(建机专用!F12&lt;&gt;"",建机专用!F12,"")</f>
        <v>vp11.dadfe.edu.cn</v>
      </c>
      <c r="G12" s="84" t="str">
        <f t="shared" si="0"/>
        <v>vmess=cf02.e16w.eu.org:443, method=aes-128-gcm, password=2a30f75a-3dae-4f3a-a616-4869d9554622, obfs=wss, obfs-host=vp11.yourdomain.com, obfs-uri=/64ffwvws, tls-verification=false, fast-open=false, udp-relay=false, aead=true, tag=_VP11_VMESS_WS</v>
      </c>
      <c r="H12" s="84" t="str">
        <f t="shared" si="1"/>
        <v>trojan=vp11.dadfe.edu.cn:443, password=2a30f75a-3dae-4f3a-a616-4869d9554622, over-tls=true, tls-host=vp11.yourdomain.com, tls-verification=false, fast-open=false, udp-relay=false, tag=_VP11_Trojan</v>
      </c>
    </row>
    <row r="13" spans="1:8" x14ac:dyDescent="0.25">
      <c r="A13" s="80">
        <v>12</v>
      </c>
      <c r="B13" s="81" t="str">
        <f>建机专用!B13</f>
        <v>734e3489-2992-49ac-adb4-1194ee679bb9</v>
      </c>
      <c r="C13" s="83" t="str">
        <f>建机专用!C13</f>
        <v>vp12.yourdomain.com</v>
      </c>
      <c r="D13" s="83" t="str">
        <f>建机专用!D13</f>
        <v>64ffw</v>
      </c>
      <c r="E13" s="83" t="str">
        <f>IF(建机专用!E13&lt;&gt;"",建机专用!E13,"")</f>
        <v>cf02.e17w.eu.org</v>
      </c>
      <c r="F13" s="83" t="str">
        <f>IF(建机专用!F13&lt;&gt;"",建机专用!F13,"")</f>
        <v>vp12.dadfe.edu.cn</v>
      </c>
      <c r="G13" s="84" t="str">
        <f t="shared" si="0"/>
        <v>vmess=cf02.e17w.eu.org:443, method=aes-128-gcm, password=734e3489-2992-49ac-adb4-1194ee679bb9, obfs=wss, obfs-host=vp12.yourdomain.com, obfs-uri=/64ffwvws, tls-verification=false, fast-open=false, udp-relay=false, aead=true, tag=_VP12_VMESS_WS</v>
      </c>
      <c r="H13" s="84" t="str">
        <f t="shared" si="1"/>
        <v>trojan=vp12.dadfe.edu.cn:443, password=734e3489-2992-49ac-adb4-1194ee679bb9, over-tls=true, tls-host=vp12.yourdomain.com, tls-verification=false, fast-open=false, udp-relay=false, tag=_VP12_Trojan</v>
      </c>
    </row>
    <row r="14" spans="1:8" x14ac:dyDescent="0.25">
      <c r="A14" s="80">
        <v>13</v>
      </c>
      <c r="B14" s="81" t="str">
        <f>建机专用!B14</f>
        <v>e3dbab35-ce51-469c-abc9-bde1755ff003</v>
      </c>
      <c r="C14" s="83" t="str">
        <f>建机专用!C14</f>
        <v>vp13.yourdomain.com</v>
      </c>
      <c r="D14" s="83" t="str">
        <f>建机专用!D14</f>
        <v>64ffw</v>
      </c>
      <c r="E14" s="83" t="str">
        <f>IF(建机专用!E14&lt;&gt;"",建机专用!E14,"")</f>
        <v>cf02.e18w.eu.org</v>
      </c>
      <c r="F14" s="83" t="str">
        <f>IF(建机专用!F14&lt;&gt;"",建机专用!F14,"")</f>
        <v>vp13.dadfe.edu.cn</v>
      </c>
      <c r="G14" s="84" t="str">
        <f t="shared" si="0"/>
        <v>vmess=cf02.e18w.eu.org:443, method=aes-128-gcm, password=e3dbab35-ce51-469c-abc9-bde1755ff003, obfs=wss, obfs-host=vp13.yourdomain.com, obfs-uri=/64ffwvws, tls-verification=false, fast-open=false, udp-relay=false, aead=true, tag=_VP13_VMESS_WS</v>
      </c>
      <c r="H14" s="84" t="str">
        <f t="shared" si="1"/>
        <v>trojan=vp13.dadfe.edu.cn:443, password=e3dbab35-ce51-469c-abc9-bde1755ff003, over-tls=true, tls-host=vp13.yourdomain.com, tls-verification=false, fast-open=false, udp-relay=false, tag=_VP13_Trojan</v>
      </c>
    </row>
    <row r="15" spans="1:8" x14ac:dyDescent="0.25">
      <c r="A15" s="80">
        <v>14</v>
      </c>
      <c r="B15" s="81" t="str">
        <f>建机专用!B15</f>
        <v>60780c50-8c0e-40a3-b13f-9ae789445b74</v>
      </c>
      <c r="C15" s="83" t="str">
        <f>建机专用!C15</f>
        <v>vp14.yourdomain.com</v>
      </c>
      <c r="D15" s="83" t="str">
        <f>建机专用!D15</f>
        <v>64ffw</v>
      </c>
      <c r="E15" s="83" t="str">
        <f>IF(建机专用!E15&lt;&gt;"",建机专用!E15,"")</f>
        <v>cf02.e19w.eu.org</v>
      </c>
      <c r="F15" s="83" t="str">
        <f>IF(建机专用!F15&lt;&gt;"",建机专用!F15,"")</f>
        <v>vp14.dadfe.edu.cn</v>
      </c>
      <c r="G15" s="84" t="str">
        <f t="shared" si="0"/>
        <v>vmess=cf02.e19w.eu.org:443, method=aes-128-gcm, password=60780c50-8c0e-40a3-b13f-9ae789445b74, obfs=wss, obfs-host=vp14.yourdomain.com, obfs-uri=/64ffwvws, tls-verification=false, fast-open=false, udp-relay=false, aead=true, tag=_VP14_VMESS_WS</v>
      </c>
      <c r="H15" s="84" t="str">
        <f t="shared" si="1"/>
        <v>trojan=vp14.dadfe.edu.cn:443, password=60780c50-8c0e-40a3-b13f-9ae789445b74, over-tls=true, tls-host=vp14.yourdomain.com, tls-verification=false, fast-open=false, udp-relay=false, tag=_VP14_Trojan</v>
      </c>
    </row>
    <row r="16" spans="1:8" x14ac:dyDescent="0.25">
      <c r="A16" s="80">
        <v>15</v>
      </c>
      <c r="B16" s="81" t="str">
        <f>建机专用!B16</f>
        <v>fc0b7ecd-4fad-40ff-90da-412a4aab8ad6</v>
      </c>
      <c r="C16" s="83" t="str">
        <f>建机专用!C16</f>
        <v>vp15.yourdomain.com</v>
      </c>
      <c r="D16" s="83" t="str">
        <f>建机专用!D16</f>
        <v>64ffw</v>
      </c>
      <c r="E16" s="83" t="str">
        <f>IF(建机专用!E16&lt;&gt;"",建机专用!E16,"")</f>
        <v>cf02.e20w.eu.org</v>
      </c>
      <c r="F16" s="83" t="str">
        <f>IF(建机专用!F16&lt;&gt;"",建机专用!F16,"")</f>
        <v>vp15.dadfe.edu.cn</v>
      </c>
      <c r="G16" s="84" t="str">
        <f t="shared" si="0"/>
        <v>vmess=cf02.e20w.eu.org:443, method=aes-128-gcm, password=fc0b7ecd-4fad-40ff-90da-412a4aab8ad6, obfs=wss, obfs-host=vp15.yourdomain.com, obfs-uri=/64ffwvws, tls-verification=false, fast-open=false, udp-relay=false, aead=true, tag=_VP15_VMESS_WS</v>
      </c>
      <c r="H16" s="84" t="str">
        <f t="shared" si="1"/>
        <v>trojan=vp15.dadfe.edu.cn:443, password=fc0b7ecd-4fad-40ff-90da-412a4aab8ad6, over-tls=true, tls-host=vp15.yourdomain.com, tls-verification=false, fast-open=false, udp-relay=false, tag=_VP15_Trojan</v>
      </c>
    </row>
    <row r="17" spans="1:8" x14ac:dyDescent="0.25">
      <c r="A17" s="80">
        <v>16</v>
      </c>
      <c r="B17" s="81" t="str">
        <f>建机专用!B17</f>
        <v>8d76ae13-3fb3-4c5f-b5f9-738abf3bb43a</v>
      </c>
      <c r="C17" s="83" t="str">
        <f>建机专用!C17</f>
        <v>vp16.yourdomain.com</v>
      </c>
      <c r="D17" s="83" t="str">
        <f>建机专用!D17</f>
        <v>64ffw</v>
      </c>
      <c r="E17" s="83" t="str">
        <f>IF(建机专用!E17&lt;&gt;"",建机专用!E17,"")</f>
        <v>cf02.e21w.eu.org</v>
      </c>
      <c r="F17" s="83" t="str">
        <f>IF(建机专用!F17&lt;&gt;"",建机专用!F17,"")</f>
        <v>vp16.dadfe.edu.cn</v>
      </c>
      <c r="G17" s="84" t="str">
        <f t="shared" si="0"/>
        <v>vmess=cf02.e21w.eu.org:443, method=aes-128-gcm, password=8d76ae13-3fb3-4c5f-b5f9-738abf3bb43a, obfs=wss, obfs-host=vp16.yourdomain.com, obfs-uri=/64ffwvws, tls-verification=false, fast-open=false, udp-relay=false, aead=true, tag=_VP16_VMESS_WS</v>
      </c>
      <c r="H17" s="84" t="str">
        <f t="shared" si="1"/>
        <v>trojan=vp16.dadfe.edu.cn:443, password=8d76ae13-3fb3-4c5f-b5f9-738abf3bb43a, over-tls=true, tls-host=vp16.yourdomain.com, tls-verification=false, fast-open=false, udp-relay=false, tag=_VP16_Trojan</v>
      </c>
    </row>
    <row r="18" spans="1:8" x14ac:dyDescent="0.25">
      <c r="A18" s="80">
        <v>17</v>
      </c>
      <c r="B18" s="81" t="str">
        <f>建机专用!B18</f>
        <v>5cda6eca-aa92-4030-9fb4-7259bfbce5d7</v>
      </c>
      <c r="C18" s="83" t="str">
        <f>建机专用!C18</f>
        <v>vp17.yourdomain.com</v>
      </c>
      <c r="D18" s="83" t="str">
        <f>建机专用!D18</f>
        <v>64ffw</v>
      </c>
      <c r="E18" s="83" t="str">
        <f>IF(建机专用!E18&lt;&gt;"",建机专用!E18,"")</f>
        <v>cf02.e22w.eu.org</v>
      </c>
      <c r="F18" s="83" t="str">
        <f>IF(建机专用!F18&lt;&gt;"",建机专用!F18,"")</f>
        <v>vp17.dadfe.edu.cn</v>
      </c>
      <c r="G18" s="84" t="str">
        <f t="shared" si="0"/>
        <v>vmess=cf02.e22w.eu.org:443, method=aes-128-gcm, password=5cda6eca-aa92-4030-9fb4-7259bfbce5d7, obfs=wss, obfs-host=vp17.yourdomain.com, obfs-uri=/64ffwvws, tls-verification=false, fast-open=false, udp-relay=false, aead=true, tag=_VP17_VMESS_WS</v>
      </c>
      <c r="H18" s="84" t="str">
        <f t="shared" si="1"/>
        <v>trojan=vp17.dadfe.edu.cn:443, password=5cda6eca-aa92-4030-9fb4-7259bfbce5d7, over-tls=true, tls-host=vp17.yourdomain.com, tls-verification=false, fast-open=false, udp-relay=false, tag=_VP17_Trojan</v>
      </c>
    </row>
    <row r="19" spans="1:8" x14ac:dyDescent="0.25">
      <c r="A19" s="80">
        <v>18</v>
      </c>
      <c r="B19" s="81" t="str">
        <f>建机专用!B19</f>
        <v>52bc0849-d32e-4c9b-a912-b48ecfb14088</v>
      </c>
      <c r="C19" s="83" t="str">
        <f>建机专用!C19</f>
        <v>vp18.yourdomain.com</v>
      </c>
      <c r="D19" s="83" t="str">
        <f>建机专用!D19</f>
        <v>64ffw</v>
      </c>
      <c r="E19" s="83" t="str">
        <f>IF(建机专用!E19&lt;&gt;"",建机专用!E19,"")</f>
        <v>cf02.e23w.eu.org</v>
      </c>
      <c r="F19" s="83" t="str">
        <f>IF(建机专用!F19&lt;&gt;"",建机专用!F19,"")</f>
        <v>vp18.dadfe.edu.cn</v>
      </c>
      <c r="G19" s="84" t="str">
        <f t="shared" si="0"/>
        <v>vmess=cf02.e23w.eu.org:443, method=aes-128-gcm, password=52bc0849-d32e-4c9b-a912-b48ecfb14088, obfs=wss, obfs-host=vp18.yourdomain.com, obfs-uri=/64ffwvws, tls-verification=false, fast-open=false, udp-relay=false, aead=true, tag=_VP18_VMESS_WS</v>
      </c>
      <c r="H19" s="84" t="str">
        <f t="shared" si="1"/>
        <v>trojan=vp18.dadfe.edu.cn:443, password=52bc0849-d32e-4c9b-a912-b48ecfb14088, over-tls=true, tls-host=vp18.yourdomain.com, tls-verification=false, fast-open=false, udp-relay=false, tag=_VP18_Trojan</v>
      </c>
    </row>
    <row r="20" spans="1:8" x14ac:dyDescent="0.25">
      <c r="A20" s="80">
        <v>19</v>
      </c>
      <c r="B20" s="81" t="str">
        <f>建机专用!B20</f>
        <v>46fe4ecf-2877-4ae0-9375-b055e0fa257c</v>
      </c>
      <c r="C20" s="83" t="str">
        <f>建机专用!C20</f>
        <v>vp19.yourdomain.com</v>
      </c>
      <c r="D20" s="83" t="str">
        <f>建机专用!D20</f>
        <v>64ffw</v>
      </c>
      <c r="E20" s="83" t="str">
        <f>IF(建机专用!E20&lt;&gt;"",建机专用!E20,"")</f>
        <v>cf02.e24w.eu.org</v>
      </c>
      <c r="F20" s="83" t="str">
        <f>IF(建机专用!F20&lt;&gt;"",建机专用!F20,"")</f>
        <v>vp19.dadfe.edu.cn</v>
      </c>
      <c r="G20" s="84" t="str">
        <f t="shared" si="0"/>
        <v>vmess=cf02.e24w.eu.org:443, method=aes-128-gcm, password=46fe4ecf-2877-4ae0-9375-b055e0fa257c, obfs=wss, obfs-host=vp19.yourdomain.com, obfs-uri=/64ffwvws, tls-verification=false, fast-open=false, udp-relay=false, aead=true, tag=_VP19_VMESS_WS</v>
      </c>
      <c r="H20" s="84" t="str">
        <f t="shared" si="1"/>
        <v>trojan=vp19.dadfe.edu.cn:443, password=46fe4ecf-2877-4ae0-9375-b055e0fa257c, over-tls=true, tls-host=vp19.yourdomain.com, tls-verification=false, fast-open=false, udp-relay=false, tag=_VP19_Trojan</v>
      </c>
    </row>
    <row r="21" spans="1:8" x14ac:dyDescent="0.25">
      <c r="A21" s="80">
        <v>20</v>
      </c>
      <c r="B21" s="81" t="str">
        <f>建机专用!B21</f>
        <v>a9b08f59-119f-4700-ab2a-5a60f0563206</v>
      </c>
      <c r="C21" s="83" t="str">
        <f>建机专用!C21</f>
        <v>vp20.yourdomain.com</v>
      </c>
      <c r="D21" s="83" t="str">
        <f>建机专用!D21</f>
        <v>64ffw</v>
      </c>
      <c r="E21" s="83" t="str">
        <f>IF(建机专用!E21&lt;&gt;"",建机专用!E21,"")</f>
        <v>cf02.e25w.eu.org</v>
      </c>
      <c r="F21" s="83" t="str">
        <f>IF(建机专用!F21&lt;&gt;"",建机专用!F21,"")</f>
        <v>vp20.dadfe.edu.cn</v>
      </c>
      <c r="G21" s="84" t="str">
        <f t="shared" si="0"/>
        <v>vmess=cf02.e25w.eu.org:443, method=aes-128-gcm, password=a9b08f59-119f-4700-ab2a-5a60f0563206, obfs=wss, obfs-host=vp20.yourdomain.com, obfs-uri=/64ffwvws, tls-verification=false, fast-open=false, udp-relay=false, aead=true, tag=_VP20_VMESS_WS</v>
      </c>
      <c r="H21" s="84" t="str">
        <f t="shared" si="1"/>
        <v>trojan=vp20.dadfe.edu.cn:443, password=a9b08f59-119f-4700-ab2a-5a60f0563206, over-tls=true, tls-host=vp20.yourdomain.com, tls-verification=false, fast-open=false, udp-relay=false, tag=_VP20_Trojan</v>
      </c>
    </row>
    <row r="22" spans="1:8" ht="3" customHeight="1" x14ac:dyDescent="0.25">
      <c r="A22" s="87"/>
      <c r="B22" s="93"/>
      <c r="C22" s="90"/>
      <c r="D22" s="90"/>
      <c r="E22" s="90"/>
      <c r="F22" s="90"/>
      <c r="G22" s="92"/>
      <c r="H22" s="92"/>
    </row>
    <row r="24" spans="1:8" x14ac:dyDescent="0.25">
      <c r="B24" s="162" t="s">
        <v>459</v>
      </c>
      <c r="C24" s="108" t="s">
        <v>8</v>
      </c>
      <c r="D24" s="108"/>
      <c r="E24" s="108"/>
      <c r="F24" s="108"/>
    </row>
    <row r="25" spans="1:8" ht="4.95" customHeight="1" x14ac:dyDescent="0.25">
      <c r="B25" s="162"/>
      <c r="E25" s="86"/>
      <c r="F25" s="106"/>
    </row>
    <row r="26" spans="1:8" x14ac:dyDescent="0.25">
      <c r="B26" s="162"/>
      <c r="C26" s="110" t="s">
        <v>18</v>
      </c>
      <c r="E26" s="86"/>
      <c r="F26" s="106"/>
    </row>
    <row r="27" spans="1:8" ht="4.95" customHeight="1" x14ac:dyDescent="0.25">
      <c r="B27" s="162"/>
      <c r="E27" s="86"/>
      <c r="F27" s="106"/>
    </row>
    <row r="28" spans="1:8" x14ac:dyDescent="0.25">
      <c r="B28" s="162"/>
      <c r="C28" s="111" t="s">
        <v>22</v>
      </c>
      <c r="E28" s="86"/>
      <c r="F28" s="106"/>
    </row>
    <row r="29" spans="1:8" x14ac:dyDescent="0.25">
      <c r="C29" s="111" t="s">
        <v>23</v>
      </c>
      <c r="E29" s="86"/>
      <c r="F29" s="106"/>
    </row>
    <row r="30" spans="1:8" x14ac:dyDescent="0.25">
      <c r="C30" s="111" t="s">
        <v>21</v>
      </c>
      <c r="E30" s="86"/>
      <c r="F30" s="106"/>
    </row>
    <row r="31" spans="1:8" ht="4.95" customHeight="1" x14ac:dyDescent="0.25">
      <c r="E31" s="86"/>
      <c r="F31" s="106"/>
    </row>
    <row r="32" spans="1:8" x14ac:dyDescent="0.25">
      <c r="E32" s="86"/>
      <c r="F32" s="106"/>
    </row>
    <row r="33" spans="3:6" x14ac:dyDescent="0.25">
      <c r="E33" s="86"/>
      <c r="F33" s="106"/>
    </row>
    <row r="34" spans="3:6" x14ac:dyDescent="0.25">
      <c r="C34" s="104" t="s">
        <v>31</v>
      </c>
      <c r="E34" s="86"/>
      <c r="F34" s="106"/>
    </row>
  </sheetData>
  <sheetProtection algorithmName="SHA-512" hashValue="1IWtbt/xmPq04qRP52ayj0xjIzaA158KAqw6oEcByXjTVcUiQnJwEF2JBMQmvbMe8XJP333t+xPeVpp7k8mNVg==" saltValue="GqjeCGSoYvGTEp7lPlwrKQ==" spinCount="100000" sheet="1" objects="1" scenarios="1"/>
  <mergeCells count="1">
    <mergeCell ref="B24:B28"/>
  </mergeCells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5370A-9DD9-4891-9288-CFE54B8F9799}">
  <sheetPr codeName="Sheet4"/>
  <dimension ref="A1:K34"/>
  <sheetViews>
    <sheetView workbookViewId="0">
      <pane ySplit="1" topLeftCell="A2" activePane="bottomLeft" state="frozen"/>
      <selection pane="bottomLeft" activeCell="H14" sqref="H14"/>
    </sheetView>
  </sheetViews>
  <sheetFormatPr defaultRowHeight="13.8" x14ac:dyDescent="0.25"/>
  <cols>
    <col min="1" max="1" width="3" style="104" bestFit="1" customWidth="1"/>
    <col min="2" max="2" width="37.77734375" style="86" customWidth="1"/>
    <col min="3" max="3" width="16.44140625" style="86" customWidth="1"/>
    <col min="4" max="4" width="10.77734375" style="86" customWidth="1"/>
    <col min="5" max="5" width="20" style="105" customWidth="1"/>
    <col min="6" max="6" width="30.5546875" style="106" customWidth="1"/>
    <col min="7" max="7" width="18.44140625" style="106" bestFit="1" customWidth="1"/>
    <col min="8" max="8" width="25.44140625" style="106" customWidth="1"/>
    <col min="9" max="9" width="22.88671875" style="86" customWidth="1"/>
    <col min="10" max="10" width="21.44140625" style="86" customWidth="1"/>
    <col min="11" max="11" width="21.44140625" style="105" customWidth="1"/>
    <col min="12" max="16384" width="8.88671875" style="86"/>
  </cols>
  <sheetData>
    <row r="1" spans="1:11" s="102" customFormat="1" ht="15.6" x14ac:dyDescent="0.25">
      <c r="A1" s="98" t="str">
        <f>建机专用!A1</f>
        <v>序</v>
      </c>
      <c r="B1" s="98" t="str">
        <f>建机专用!B1</f>
        <v>密码/UUID</v>
      </c>
      <c r="C1" s="98" t="str">
        <f>建机专用!C1</f>
        <v>域名</v>
      </c>
      <c r="D1" s="98" t="str">
        <f>建机专用!D1</f>
        <v>PATH</v>
      </c>
      <c r="E1" s="98" t="s">
        <v>12</v>
      </c>
      <c r="F1" s="99" t="s">
        <v>84</v>
      </c>
      <c r="G1" s="100" t="s">
        <v>85</v>
      </c>
      <c r="H1" s="99" t="s">
        <v>19</v>
      </c>
      <c r="I1" s="101" t="s">
        <v>86</v>
      </c>
      <c r="J1" s="99" t="s">
        <v>36</v>
      </c>
      <c r="K1" s="101" t="s">
        <v>87</v>
      </c>
    </row>
    <row r="2" spans="1:11" x14ac:dyDescent="0.25">
      <c r="A2" s="80">
        <v>1</v>
      </c>
      <c r="B2" s="81" t="str">
        <f>建机专用!B2</f>
        <v>adb45e76-b0e7-4c0b-90b7-8c41a9e04e51</v>
      </c>
      <c r="C2" s="83" t="str">
        <f>建机专用!C2</f>
        <v>vp1.yourdomain.com</v>
      </c>
      <c r="D2" s="83" t="str">
        <f>IF(建机专用!D2&lt;&gt;"",建机专用!D2,"")</f>
        <v>64ffw</v>
      </c>
      <c r="E2" s="83" t="str">
        <f>IF(建机专用!E2&lt;&gt;"",建机专用!E2,"")</f>
        <v>cf02.e6w.eu.org</v>
      </c>
      <c r="F2" s="84" t="str">
        <f>"  - {name: "&amp;UPPER(LEFT(C2,FIND(".",C2)-1))&amp;"_VMESS_WS"&amp;", server: "&amp;IF(E2="",C2,E2)&amp;", port: 443, type: vmess, uuid: "&amp;B2&amp;", alterId: 0, cipher: auto, tls: true, skip-cert-verify: false, servername: "&amp;C2&amp;", network: ws, ws-opts: {path: /"&amp;D2&amp;"vws, headers: {Host: "&amp;C2&amp;"}}, udp: true}"</f>
        <v xml:space="preserve">  - {name: VP1_VMESS_WS, server: cf02.e6w.eu.org, port: 443, type: vmess, uuid: adb45e76-b0e7-4c0b-90b7-8c41a9e04e51, alterId: 0, cipher: auto, tls: true, skip-cert-verify: false, servername: vp1.yourdomain.com, network: ws, ws-opts: {path: /64ffwvws, headers: {Host: vp1.yourdomain.com}}, udp: true}</v>
      </c>
      <c r="G2" s="103" t="str">
        <f>"    - """&amp;UPPER(LEFT(C2,FIND(".",C2)-1)&amp;"_VMESS_WS""")</f>
        <v xml:space="preserve">    - "VP1_VMESS_WS"</v>
      </c>
      <c r="H2" s="84" t="str">
        <f>"  - {""name"":"""&amp;UPPER(LEFT(C2,FIND(".",C2)-1))&amp;"_TROJAN_GRPC"",""type"":""trojan"",""server"":"&amp;""""&amp;IF(E2="",C2,E2)&amp;""",""port"":443,""udp"":true,""password"":"""&amp;B2&amp;""",""sni"":"""&amp;C2&amp;""",""skip-cert-verify"":true,""network"":""grpc"",""grpc-opts"":{""grpc-service-name"":"""&amp;D2&amp;"trojangrpc""},""alpn"":[""h2""]}"</f>
        <v xml:space="preserve">  - {"name":"VP1_TROJAN_GRPC","type":"trojan","server":"cf02.e6w.eu.org","port":443,"udp":true,"password":"adb45e76-b0e7-4c0b-90b7-8c41a9e04e51","sni":"vp1.yourdomain.com","skip-cert-verify":true,"network":"grpc","grpc-opts":{"grpc-service-name":"64ffwtrojangrpc"},"alpn":["h2"]}</v>
      </c>
      <c r="I2" s="103" t="str">
        <f>"    - """&amp;UPPER(LEFT(C2,FIND(".",C2)-1))&amp;"_TROJAN_GRPC"""</f>
        <v xml:space="preserve">    - "VP1_TROJAN_GRPC"</v>
      </c>
      <c r="J2" s="84" t="str">
        <f>"  - {name: "&amp;UPPER(LEFT(C2,FIND(".",C2)-1))&amp;"_VLESS_WS"&amp;", server: "&amp;IF(E2="",C2,E2)&amp;", port: 443, type: vless, uuid: "&amp;B2&amp;", tls: true, skip-cert-verify: false, servername: "&amp;C2&amp;", network: ws, ws-opts: {path: /"&amp;D2&amp;"ws, headers: {Host: "&amp;C2&amp;"}}, udp: true}"</f>
        <v xml:space="preserve">  - {name: VP1_VLESS_WS, server: cf02.e6w.eu.org, port: 443, type: vless, uuid: adb45e76-b0e7-4c0b-90b7-8c41a9e04e51, tls: true, skip-cert-verify: false, servername: vp1.yourdomain.com, network: ws, ws-opts: {path: /64ffwws, headers: {Host: vp1.yourdomain.com}}, udp: true}</v>
      </c>
      <c r="K2" s="103" t="str">
        <f>"    - """&amp;UPPER(LEFT(C2,FIND(".",C2)-1)&amp;"_VLESS_WS""")</f>
        <v xml:space="preserve">    - "VP1_VLESS_WS"</v>
      </c>
    </row>
    <row r="3" spans="1:11" x14ac:dyDescent="0.25">
      <c r="A3" s="80">
        <v>2</v>
      </c>
      <c r="B3" s="81" t="str">
        <f>建机专用!B3</f>
        <v>8b224414-a49a-4bd4-85ac-2fb4e65133a2</v>
      </c>
      <c r="C3" s="83" t="str">
        <f>建机专用!C3</f>
        <v>vp2.yourdomain.com</v>
      </c>
      <c r="D3" s="83" t="str">
        <f>IF(建机专用!D3&lt;&gt;"",建机专用!D3,"")</f>
        <v>64ffw</v>
      </c>
      <c r="E3" s="83" t="str">
        <f>IF(建机专用!E3&lt;&gt;"",建机专用!E3,"")</f>
        <v>cf02.e7w.eu.org</v>
      </c>
      <c r="F3" s="84" t="str">
        <f t="shared" ref="F3:F19" si="0">"  - {name: "&amp;UPPER(LEFT(C3,FIND(".",C3)-1))&amp;"_VMESS_WS"&amp;", server: "&amp;IF(E3="",C3,E3)&amp;", port: 443, type: vmess, uuid: "&amp;B3&amp;", alterId: 0, cipher: auto, tls: true, skip-cert-verify: false, servername: "&amp;C3&amp;", network: ws, ws-opts: {path: /"&amp;D3&amp;"vws, headers: {Host: "&amp;C3&amp;"}}, udp: true}"</f>
        <v xml:space="preserve">  - {name: VP2_VMESS_WS, server: cf02.e7w.eu.org, port: 443, type: vmess, uuid: 8b224414-a49a-4bd4-85ac-2fb4e65133a2, alterId: 0, cipher: auto, tls: true, skip-cert-verify: false, servername: vp2.yourdomain.com, network: ws, ws-opts: {path: /64ffwvws, headers: {Host: vp2.yourdomain.com}}, udp: true}</v>
      </c>
      <c r="G3" s="103" t="str">
        <f t="shared" ref="G3:G19" si="1">"    - """&amp;UPPER(LEFT(C3,FIND(".",C3)-1)&amp;"_VMESS_WS""")</f>
        <v xml:space="preserve">    - "VP2_VMESS_WS"</v>
      </c>
      <c r="H3" s="84" t="str">
        <f t="shared" ref="H3:H21" si="2">"  - {""name"":"""&amp;UPPER(LEFT(C3,FIND(".",C3)-1))&amp;"_TROJAN_GRPC"",""type"":""trojan"",""server"":"&amp;""""&amp;IF(E3="",C3,E3)&amp;""",""port"":443,""udp"":true,""password"":"""&amp;B3&amp;""",""sni"":"""&amp;C3&amp;""",""skip-cert-verify"":true,""network"":""grpc"",""grpc-opts"":{""grpc-service-name"":"""&amp;D3&amp;"trojangrpc""},""alpn"":[""h2""]}"</f>
        <v xml:space="preserve">  - {"name":"VP2_TROJAN_GRPC","type":"trojan","server":"cf02.e7w.eu.org","port":443,"udp":true,"password":"8b224414-a49a-4bd4-85ac-2fb4e65133a2","sni":"vp2.yourdomain.com","skip-cert-verify":true,"network":"grpc","grpc-opts":{"grpc-service-name":"64ffwtrojangrpc"},"alpn":["h2"]}</v>
      </c>
      <c r="I3" s="103" t="str">
        <f t="shared" ref="I3:I21" si="3">"    - """&amp;UPPER(LEFT(C3,FIND(".",C3)-1))&amp;"_TROJAN_GRPC"""</f>
        <v xml:space="preserve">    - "VP2_TROJAN_GRPC"</v>
      </c>
      <c r="J3" s="84" t="str">
        <f t="shared" ref="J3:J19" si="4">"  - {name: "&amp;UPPER(LEFT(C3,FIND(".",C3)-1))&amp;"_VLESS_WS"&amp;", server: "&amp;IF(E3="",C3,E3)&amp;", port: 443, type: vless, uuid: "&amp;B3&amp;", tls: true, skip-cert-verify: false, servername: "&amp;C3&amp;", network: ws, ws-opts: {path: /"&amp;D3&amp;"ws, headers: {Host: "&amp;C3&amp;"}}, udp: true}"</f>
        <v xml:space="preserve">  - {name: VP2_VLESS_WS, server: cf02.e7w.eu.org, port: 443, type: vless, uuid: 8b224414-a49a-4bd4-85ac-2fb4e65133a2, tls: true, skip-cert-verify: false, servername: vp2.yourdomain.com, network: ws, ws-opts: {path: /64ffwws, headers: {Host: vp2.yourdomain.com}}, udp: true}</v>
      </c>
      <c r="K3" s="103" t="str">
        <f t="shared" ref="K3:K19" si="5">"    - """&amp;UPPER(LEFT(C3,FIND(".",C3)-1)&amp;"_VLESS_WS""")</f>
        <v xml:space="preserve">    - "VP2_VLESS_WS"</v>
      </c>
    </row>
    <row r="4" spans="1:11" x14ac:dyDescent="0.25">
      <c r="A4" s="80">
        <v>3</v>
      </c>
      <c r="B4" s="81" t="str">
        <f>建机专用!B4</f>
        <v>e514eace-f7fc-4689-9547-91b810c9b906</v>
      </c>
      <c r="C4" s="83" t="str">
        <f>建机专用!C4</f>
        <v>vp3.yourdomain.com</v>
      </c>
      <c r="D4" s="83" t="str">
        <f>IF(建机专用!D4&lt;&gt;"",建机专用!D4,"")</f>
        <v>64ffw</v>
      </c>
      <c r="E4" s="83" t="str">
        <f>IF(建机专用!E4&lt;&gt;"",建机专用!E4,"")</f>
        <v>cf02.e8w.eu.org</v>
      </c>
      <c r="F4" s="84" t="str">
        <f t="shared" si="0"/>
        <v xml:space="preserve">  - {name: VP3_VMESS_WS, server: cf02.e8w.eu.org, port: 443, type: vmess, uuid: e514eace-f7fc-4689-9547-91b810c9b906, alterId: 0, cipher: auto, tls: true, skip-cert-verify: false, servername: vp3.yourdomain.com, network: ws, ws-opts: {path: /64ffwvws, headers: {Host: vp3.yourdomain.com}}, udp: true}</v>
      </c>
      <c r="G4" s="103" t="str">
        <f t="shared" si="1"/>
        <v xml:space="preserve">    - "VP3_VMESS_WS"</v>
      </c>
      <c r="H4" s="84" t="str">
        <f t="shared" si="2"/>
        <v xml:space="preserve">  - {"name":"VP3_TROJAN_GRPC","type":"trojan","server":"cf02.e8w.eu.org","port":443,"udp":true,"password":"e514eace-f7fc-4689-9547-91b810c9b906","sni":"vp3.yourdomain.com","skip-cert-verify":true,"network":"grpc","grpc-opts":{"grpc-service-name":"64ffwtrojangrpc"},"alpn":["h2"]}</v>
      </c>
      <c r="I4" s="103" t="str">
        <f t="shared" si="3"/>
        <v xml:space="preserve">    - "VP3_TROJAN_GRPC"</v>
      </c>
      <c r="J4" s="84" t="str">
        <f t="shared" si="4"/>
        <v xml:space="preserve">  - {name: VP3_VLESS_WS, server: cf02.e8w.eu.org, port: 443, type: vless, uuid: e514eace-f7fc-4689-9547-91b810c9b906, tls: true, skip-cert-verify: false, servername: vp3.yourdomain.com, network: ws, ws-opts: {path: /64ffwws, headers: {Host: vp3.yourdomain.com}}, udp: true}</v>
      </c>
      <c r="K4" s="103" t="str">
        <f t="shared" si="5"/>
        <v xml:space="preserve">    - "VP3_VLESS_WS"</v>
      </c>
    </row>
    <row r="5" spans="1:11" x14ac:dyDescent="0.25">
      <c r="A5" s="80">
        <v>4</v>
      </c>
      <c r="B5" s="81" t="str">
        <f>建机专用!B5</f>
        <v>15c2d187-dd1a-403a-a450-ddfbcb929556</v>
      </c>
      <c r="C5" s="83" t="str">
        <f>建机专用!C5</f>
        <v>vp4.yourdomain.com</v>
      </c>
      <c r="D5" s="83" t="str">
        <f>IF(建机专用!D5&lt;&gt;"",建机专用!D5,"")</f>
        <v>64ffw</v>
      </c>
      <c r="E5" s="83" t="str">
        <f>IF(建机专用!E5&lt;&gt;"",建机专用!E5,"")</f>
        <v>cf02.e9w.eu.org</v>
      </c>
      <c r="F5" s="84" t="str">
        <f t="shared" si="0"/>
        <v xml:space="preserve">  - {name: VP4_VMESS_WS, server: cf02.e9w.eu.org, port: 443, type: vmess, uuid: 15c2d187-dd1a-403a-a450-ddfbcb929556, alterId: 0, cipher: auto, tls: true, skip-cert-verify: false, servername: vp4.yourdomain.com, network: ws, ws-opts: {path: /64ffwvws, headers: {Host: vp4.yourdomain.com}}, udp: true}</v>
      </c>
      <c r="G5" s="103" t="str">
        <f t="shared" si="1"/>
        <v xml:space="preserve">    - "VP4_VMESS_WS"</v>
      </c>
      <c r="H5" s="84" t="str">
        <f t="shared" si="2"/>
        <v xml:space="preserve">  - {"name":"VP4_TROJAN_GRPC","type":"trojan","server":"cf02.e9w.eu.org","port":443,"udp":true,"password":"15c2d187-dd1a-403a-a450-ddfbcb929556","sni":"vp4.yourdomain.com","skip-cert-verify":true,"network":"grpc","grpc-opts":{"grpc-service-name":"64ffwtrojangrpc"},"alpn":["h2"]}</v>
      </c>
      <c r="I5" s="103" t="str">
        <f t="shared" si="3"/>
        <v xml:space="preserve">    - "VP4_TROJAN_GRPC"</v>
      </c>
      <c r="J5" s="84" t="str">
        <f t="shared" si="4"/>
        <v xml:space="preserve">  - {name: VP4_VLESS_WS, server: cf02.e9w.eu.org, port: 443, type: vless, uuid: 15c2d187-dd1a-403a-a450-ddfbcb929556, tls: true, skip-cert-verify: false, servername: vp4.yourdomain.com, network: ws, ws-opts: {path: /64ffwws, headers: {Host: vp4.yourdomain.com}}, udp: true}</v>
      </c>
      <c r="K5" s="103" t="str">
        <f t="shared" si="5"/>
        <v xml:space="preserve">    - "VP4_VLESS_WS"</v>
      </c>
    </row>
    <row r="6" spans="1:11" x14ac:dyDescent="0.25">
      <c r="A6" s="80">
        <v>5</v>
      </c>
      <c r="B6" s="81" t="str">
        <f>建机专用!B6</f>
        <v>6c026dff-3464-4737-9416-9b5a014b85fa</v>
      </c>
      <c r="C6" s="83" t="str">
        <f>建机专用!C6</f>
        <v>vp5.yourdomain.com</v>
      </c>
      <c r="D6" s="83" t="str">
        <f>IF(建机专用!D6&lt;&gt;"",建机专用!D6,"")</f>
        <v>64ffw</v>
      </c>
      <c r="E6" s="83" t="str">
        <f>IF(建机专用!E6&lt;&gt;"",建机专用!E6,"")</f>
        <v>cf02.e10w.eu.org</v>
      </c>
      <c r="F6" s="84" t="str">
        <f t="shared" si="0"/>
        <v xml:space="preserve">  - {name: VP5_VMESS_WS, server: cf02.e10w.eu.org, port: 443, type: vmess, uuid: 6c026dff-3464-4737-9416-9b5a014b85fa, alterId: 0, cipher: auto, tls: true, skip-cert-verify: false, servername: vp5.yourdomain.com, network: ws, ws-opts: {path: /64ffwvws, headers: {Host: vp5.yourdomain.com}}, udp: true}</v>
      </c>
      <c r="G6" s="103" t="str">
        <f t="shared" si="1"/>
        <v xml:space="preserve">    - "VP5_VMESS_WS"</v>
      </c>
      <c r="H6" s="84" t="str">
        <f t="shared" si="2"/>
        <v xml:space="preserve">  - {"name":"VP5_TROJAN_GRPC","type":"trojan","server":"cf02.e10w.eu.org","port":443,"udp":true,"password":"6c026dff-3464-4737-9416-9b5a014b85fa","sni":"vp5.yourdomain.com","skip-cert-verify":true,"network":"grpc","grpc-opts":{"grpc-service-name":"64ffwtrojangrpc"},"alpn":["h2"]}</v>
      </c>
      <c r="I6" s="103" t="str">
        <f t="shared" si="3"/>
        <v xml:space="preserve">    - "VP5_TROJAN_GRPC"</v>
      </c>
      <c r="J6" s="84" t="str">
        <f t="shared" si="4"/>
        <v xml:space="preserve">  - {name: VP5_VLESS_WS, server: cf02.e10w.eu.org, port: 443, type: vless, uuid: 6c026dff-3464-4737-9416-9b5a014b85fa, tls: true, skip-cert-verify: false, servername: vp5.yourdomain.com, network: ws, ws-opts: {path: /64ffwws, headers: {Host: vp5.yourdomain.com}}, udp: true}</v>
      </c>
      <c r="K6" s="103" t="str">
        <f t="shared" si="5"/>
        <v xml:space="preserve">    - "VP5_VLESS_WS"</v>
      </c>
    </row>
    <row r="7" spans="1:11" x14ac:dyDescent="0.25">
      <c r="A7" s="80">
        <v>6</v>
      </c>
      <c r="B7" s="81" t="str">
        <f>建机专用!B7</f>
        <v>fb1e92e5-4abf-404f-9234-067284ac145b</v>
      </c>
      <c r="C7" s="83" t="str">
        <f>建机专用!C7</f>
        <v>vp6.yourdomain.com</v>
      </c>
      <c r="D7" s="83" t="str">
        <f>IF(建机专用!D7&lt;&gt;"",建机专用!D7,"")</f>
        <v>64ffw</v>
      </c>
      <c r="E7" s="83" t="str">
        <f>IF(建机专用!E7&lt;&gt;"",建机专用!E7,"")</f>
        <v>cf02.e11w.eu.org</v>
      </c>
      <c r="F7" s="84" t="str">
        <f t="shared" si="0"/>
        <v xml:space="preserve">  - {name: VP6_VMESS_WS, server: cf02.e11w.eu.org, port: 443, type: vmess, uuid: fb1e92e5-4abf-404f-9234-067284ac145b, alterId: 0, cipher: auto, tls: true, skip-cert-verify: false, servername: vp6.yourdomain.com, network: ws, ws-opts: {path: /64ffwvws, headers: {Host: vp6.yourdomain.com}}, udp: true}</v>
      </c>
      <c r="G7" s="103" t="str">
        <f t="shared" si="1"/>
        <v xml:space="preserve">    - "VP6_VMESS_WS"</v>
      </c>
      <c r="H7" s="84" t="str">
        <f t="shared" si="2"/>
        <v xml:space="preserve">  - {"name":"VP6_TROJAN_GRPC","type":"trojan","server":"cf02.e11w.eu.org","port":443,"udp":true,"password":"fb1e92e5-4abf-404f-9234-067284ac145b","sni":"vp6.yourdomain.com","skip-cert-verify":true,"network":"grpc","grpc-opts":{"grpc-service-name":"64ffwtrojangrpc"},"alpn":["h2"]}</v>
      </c>
      <c r="I7" s="103" t="str">
        <f t="shared" si="3"/>
        <v xml:space="preserve">    - "VP6_TROJAN_GRPC"</v>
      </c>
      <c r="J7" s="84" t="str">
        <f t="shared" si="4"/>
        <v xml:space="preserve">  - {name: VP6_VLESS_WS, server: cf02.e11w.eu.org, port: 443, type: vless, uuid: fb1e92e5-4abf-404f-9234-067284ac145b, tls: true, skip-cert-verify: false, servername: vp6.yourdomain.com, network: ws, ws-opts: {path: /64ffwws, headers: {Host: vp6.yourdomain.com}}, udp: true}</v>
      </c>
      <c r="K7" s="103" t="str">
        <f t="shared" si="5"/>
        <v xml:space="preserve">    - "VP6_VLESS_WS"</v>
      </c>
    </row>
    <row r="8" spans="1:11" x14ac:dyDescent="0.25">
      <c r="A8" s="80">
        <v>7</v>
      </c>
      <c r="B8" s="81" t="str">
        <f>建机专用!B8</f>
        <v>516e96cc-bd80-4ce7-bcd2-fea79effabbf</v>
      </c>
      <c r="C8" s="83" t="str">
        <f>建机专用!C8</f>
        <v>vp7.yourdomain.com</v>
      </c>
      <c r="D8" s="83" t="str">
        <f>IF(建机专用!D8&lt;&gt;"",建机专用!D8,"")</f>
        <v>64ffw</v>
      </c>
      <c r="E8" s="83" t="str">
        <f>IF(建机专用!E8&lt;&gt;"",建机专用!E8,"")</f>
        <v>cf02.e12w.eu.org</v>
      </c>
      <c r="F8" s="84" t="str">
        <f t="shared" si="0"/>
        <v xml:space="preserve">  - {name: VP7_VMESS_WS, server: cf02.e12w.eu.org, port: 443, type: vmess, uuid: 516e96cc-bd80-4ce7-bcd2-fea79effabbf, alterId: 0, cipher: auto, tls: true, skip-cert-verify: false, servername: vp7.yourdomain.com, network: ws, ws-opts: {path: /64ffwvws, headers: {Host: vp7.yourdomain.com}}, udp: true}</v>
      </c>
      <c r="G8" s="103" t="str">
        <f t="shared" si="1"/>
        <v xml:space="preserve">    - "VP7_VMESS_WS"</v>
      </c>
      <c r="H8" s="84" t="str">
        <f t="shared" si="2"/>
        <v xml:space="preserve">  - {"name":"VP7_TROJAN_GRPC","type":"trojan","server":"cf02.e12w.eu.org","port":443,"udp":true,"password":"516e96cc-bd80-4ce7-bcd2-fea79effabbf","sni":"vp7.yourdomain.com","skip-cert-verify":true,"network":"grpc","grpc-opts":{"grpc-service-name":"64ffwtrojangrpc"},"alpn":["h2"]}</v>
      </c>
      <c r="I8" s="103" t="str">
        <f t="shared" si="3"/>
        <v xml:space="preserve">    - "VP7_TROJAN_GRPC"</v>
      </c>
      <c r="J8" s="84" t="str">
        <f t="shared" si="4"/>
        <v xml:space="preserve">  - {name: VP7_VLESS_WS, server: cf02.e12w.eu.org, port: 443, type: vless, uuid: 516e96cc-bd80-4ce7-bcd2-fea79effabbf, tls: true, skip-cert-verify: false, servername: vp7.yourdomain.com, network: ws, ws-opts: {path: /64ffwws, headers: {Host: vp7.yourdomain.com}}, udp: true}</v>
      </c>
      <c r="K8" s="103" t="str">
        <f t="shared" si="5"/>
        <v xml:space="preserve">    - "VP7_VLESS_WS"</v>
      </c>
    </row>
    <row r="9" spans="1:11" x14ac:dyDescent="0.25">
      <c r="A9" s="80">
        <v>8</v>
      </c>
      <c r="B9" s="81" t="str">
        <f>建机专用!B9</f>
        <v>9af20f09-1deb-4d65-b548-69a88235d502</v>
      </c>
      <c r="C9" s="83" t="str">
        <f>建机专用!C9</f>
        <v>vp8.yourdomain.com</v>
      </c>
      <c r="D9" s="83" t="str">
        <f>IF(建机专用!D9&lt;&gt;"",建机专用!D9,"")</f>
        <v>64ffw</v>
      </c>
      <c r="E9" s="83" t="str">
        <f>IF(建机专用!E9&lt;&gt;"",建机专用!E9,"")</f>
        <v>cf02.e13w.eu.org</v>
      </c>
      <c r="F9" s="84" t="str">
        <f t="shared" si="0"/>
        <v xml:space="preserve">  - {name: VP8_VMESS_WS, server: cf02.e13w.eu.org, port: 443, type: vmess, uuid: 9af20f09-1deb-4d65-b548-69a88235d502, alterId: 0, cipher: auto, tls: true, skip-cert-verify: false, servername: vp8.yourdomain.com, network: ws, ws-opts: {path: /64ffwvws, headers: {Host: vp8.yourdomain.com}}, udp: true}</v>
      </c>
      <c r="G9" s="103" t="str">
        <f t="shared" si="1"/>
        <v xml:space="preserve">    - "VP8_VMESS_WS"</v>
      </c>
      <c r="H9" s="84" t="str">
        <f t="shared" si="2"/>
        <v xml:space="preserve">  - {"name":"VP8_TROJAN_GRPC","type":"trojan","server":"cf02.e13w.eu.org","port":443,"udp":true,"password":"9af20f09-1deb-4d65-b548-69a88235d502","sni":"vp8.yourdomain.com","skip-cert-verify":true,"network":"grpc","grpc-opts":{"grpc-service-name":"64ffwtrojangrpc"},"alpn":["h2"]}</v>
      </c>
      <c r="I9" s="103" t="str">
        <f t="shared" si="3"/>
        <v xml:space="preserve">    - "VP8_TROJAN_GRPC"</v>
      </c>
      <c r="J9" s="84" t="str">
        <f t="shared" si="4"/>
        <v xml:space="preserve">  - {name: VP8_VLESS_WS, server: cf02.e13w.eu.org, port: 443, type: vless, uuid: 9af20f09-1deb-4d65-b548-69a88235d502, tls: true, skip-cert-verify: false, servername: vp8.yourdomain.com, network: ws, ws-opts: {path: /64ffwws, headers: {Host: vp8.yourdomain.com}}, udp: true}</v>
      </c>
      <c r="K9" s="103" t="str">
        <f t="shared" si="5"/>
        <v xml:space="preserve">    - "VP8_VLESS_WS"</v>
      </c>
    </row>
    <row r="10" spans="1:11" x14ac:dyDescent="0.25">
      <c r="A10" s="80">
        <v>9</v>
      </c>
      <c r="B10" s="81" t="str">
        <f>建机专用!B10</f>
        <v>cfef338c-1622-49f3-90e2-55a2b3a9ce4c</v>
      </c>
      <c r="C10" s="83" t="str">
        <f>建机专用!C10</f>
        <v>vp9.yourdomain.com</v>
      </c>
      <c r="D10" s="83" t="str">
        <f>IF(建机专用!D10&lt;&gt;"",建机专用!D10,"")</f>
        <v>64ffw</v>
      </c>
      <c r="E10" s="83" t="str">
        <f>IF(建机专用!E10&lt;&gt;"",建机专用!E10,"")</f>
        <v>cf02.e14w.eu.org</v>
      </c>
      <c r="F10" s="84" t="str">
        <f t="shared" si="0"/>
        <v xml:space="preserve">  - {name: VP9_VMESS_WS, server: cf02.e14w.eu.org, port: 443, type: vmess, uuid: cfef338c-1622-49f3-90e2-55a2b3a9ce4c, alterId: 0, cipher: auto, tls: true, skip-cert-verify: false, servername: vp9.yourdomain.com, network: ws, ws-opts: {path: /64ffwvws, headers: {Host: vp9.yourdomain.com}}, udp: true}</v>
      </c>
      <c r="G10" s="103" t="str">
        <f t="shared" si="1"/>
        <v xml:space="preserve">    - "VP9_VMESS_WS"</v>
      </c>
      <c r="H10" s="84" t="str">
        <f t="shared" si="2"/>
        <v xml:space="preserve">  - {"name":"VP9_TROJAN_GRPC","type":"trojan","server":"cf02.e14w.eu.org","port":443,"udp":true,"password":"cfef338c-1622-49f3-90e2-55a2b3a9ce4c","sni":"vp9.yourdomain.com","skip-cert-verify":true,"network":"grpc","grpc-opts":{"grpc-service-name":"64ffwtrojangrpc"},"alpn":["h2"]}</v>
      </c>
      <c r="I10" s="103" t="str">
        <f t="shared" si="3"/>
        <v xml:space="preserve">    - "VP9_TROJAN_GRPC"</v>
      </c>
      <c r="J10" s="84" t="str">
        <f t="shared" si="4"/>
        <v xml:space="preserve">  - {name: VP9_VLESS_WS, server: cf02.e14w.eu.org, port: 443, type: vless, uuid: cfef338c-1622-49f3-90e2-55a2b3a9ce4c, tls: true, skip-cert-verify: false, servername: vp9.yourdomain.com, network: ws, ws-opts: {path: /64ffwws, headers: {Host: vp9.yourdomain.com}}, udp: true}</v>
      </c>
      <c r="K10" s="103" t="str">
        <f t="shared" si="5"/>
        <v xml:space="preserve">    - "VP9_VLESS_WS"</v>
      </c>
    </row>
    <row r="11" spans="1:11" x14ac:dyDescent="0.25">
      <c r="A11" s="80">
        <v>10</v>
      </c>
      <c r="B11" s="81" t="str">
        <f>建机专用!B11</f>
        <v>1fe8a7ed-4592-419f-af29-42e29a1cac09</v>
      </c>
      <c r="C11" s="83" t="str">
        <f>建机专用!C11</f>
        <v>vp10.yourdomain.com</v>
      </c>
      <c r="D11" s="83" t="str">
        <f>IF(建机专用!D11&lt;&gt;"",建机专用!D11,"")</f>
        <v>64ffw</v>
      </c>
      <c r="E11" s="83" t="str">
        <f>IF(建机专用!E11&lt;&gt;"",建机专用!E11,"")</f>
        <v>cf02.e15w.eu.org</v>
      </c>
      <c r="F11" s="84" t="str">
        <f t="shared" si="0"/>
        <v xml:space="preserve">  - {name: VP10_VMESS_WS, server: cf02.e15w.eu.org, port: 443, type: vmess, uuid: 1fe8a7ed-4592-419f-af29-42e29a1cac09, alterId: 0, cipher: auto, tls: true, skip-cert-verify: false, servername: vp10.yourdomain.com, network: ws, ws-opts: {path: /64ffwvws, headers: {Host: vp10.yourdomain.com}}, udp: true}</v>
      </c>
      <c r="G11" s="103" t="str">
        <f t="shared" si="1"/>
        <v xml:space="preserve">    - "VP10_VMESS_WS"</v>
      </c>
      <c r="H11" s="84" t="str">
        <f t="shared" si="2"/>
        <v xml:space="preserve">  - {"name":"VP10_TROJAN_GRPC","type":"trojan","server":"cf02.e15w.eu.org","port":443,"udp":true,"password":"1fe8a7ed-4592-419f-af29-42e29a1cac09","sni":"vp10.yourdomain.com","skip-cert-verify":true,"network":"grpc","grpc-opts":{"grpc-service-name":"64ffwtrojangrpc"},"alpn":["h2"]}</v>
      </c>
      <c r="I11" s="103" t="str">
        <f t="shared" si="3"/>
        <v xml:space="preserve">    - "VP10_TROJAN_GRPC"</v>
      </c>
      <c r="J11" s="84" t="str">
        <f t="shared" si="4"/>
        <v xml:space="preserve">  - {name: VP10_VLESS_WS, server: cf02.e15w.eu.org, port: 443, type: vless, uuid: 1fe8a7ed-4592-419f-af29-42e29a1cac09, tls: true, skip-cert-verify: false, servername: vp10.yourdomain.com, network: ws, ws-opts: {path: /64ffwws, headers: {Host: vp10.yourdomain.com}}, udp: true}</v>
      </c>
      <c r="K11" s="103" t="str">
        <f t="shared" si="5"/>
        <v xml:space="preserve">    - "VP10_VLESS_WS"</v>
      </c>
    </row>
    <row r="12" spans="1:11" x14ac:dyDescent="0.25">
      <c r="A12" s="80">
        <v>11</v>
      </c>
      <c r="B12" s="81" t="str">
        <f>建机专用!B12</f>
        <v>2a30f75a-3dae-4f3a-a616-4869d9554622</v>
      </c>
      <c r="C12" s="83" t="str">
        <f>建机专用!C12</f>
        <v>vp11.yourdomain.com</v>
      </c>
      <c r="D12" s="83" t="str">
        <f>IF(建机专用!D12&lt;&gt;"",建机专用!D12,"")</f>
        <v>64ffw</v>
      </c>
      <c r="E12" s="83" t="str">
        <f>IF(建机专用!E12&lt;&gt;"",建机专用!E12,"")</f>
        <v>cf02.e16w.eu.org</v>
      </c>
      <c r="F12" s="84" t="str">
        <f t="shared" si="0"/>
        <v xml:space="preserve">  - {name: VP11_VMESS_WS, server: cf02.e16w.eu.org, port: 443, type: vmess, uuid: 2a30f75a-3dae-4f3a-a616-4869d9554622, alterId: 0, cipher: auto, tls: true, skip-cert-verify: false, servername: vp11.yourdomain.com, network: ws, ws-opts: {path: /64ffwvws, headers: {Host: vp11.yourdomain.com}}, udp: true}</v>
      </c>
      <c r="G12" s="103" t="str">
        <f t="shared" si="1"/>
        <v xml:space="preserve">    - "VP11_VMESS_WS"</v>
      </c>
      <c r="H12" s="84" t="str">
        <f t="shared" si="2"/>
        <v xml:space="preserve">  - {"name":"VP11_TROJAN_GRPC","type":"trojan","server":"cf02.e16w.eu.org","port":443,"udp":true,"password":"2a30f75a-3dae-4f3a-a616-4869d9554622","sni":"vp11.yourdomain.com","skip-cert-verify":true,"network":"grpc","grpc-opts":{"grpc-service-name":"64ffwtrojangrpc"},"alpn":["h2"]}</v>
      </c>
      <c r="I12" s="103" t="str">
        <f t="shared" si="3"/>
        <v xml:space="preserve">    - "VP11_TROJAN_GRPC"</v>
      </c>
      <c r="J12" s="84" t="str">
        <f t="shared" si="4"/>
        <v xml:space="preserve">  - {name: VP11_VLESS_WS, server: cf02.e16w.eu.org, port: 443, type: vless, uuid: 2a30f75a-3dae-4f3a-a616-4869d9554622, tls: true, skip-cert-verify: false, servername: vp11.yourdomain.com, network: ws, ws-opts: {path: /64ffwws, headers: {Host: vp11.yourdomain.com}}, udp: true}</v>
      </c>
      <c r="K12" s="103" t="str">
        <f t="shared" si="5"/>
        <v xml:space="preserve">    - "VP11_VLESS_WS"</v>
      </c>
    </row>
    <row r="13" spans="1:11" x14ac:dyDescent="0.25">
      <c r="A13" s="80">
        <v>12</v>
      </c>
      <c r="B13" s="81" t="str">
        <f>建机专用!B13</f>
        <v>734e3489-2992-49ac-adb4-1194ee679bb9</v>
      </c>
      <c r="C13" s="83" t="str">
        <f>建机专用!C13</f>
        <v>vp12.yourdomain.com</v>
      </c>
      <c r="D13" s="83" t="str">
        <f>IF(建机专用!D13&lt;&gt;"",建机专用!D13,"")</f>
        <v>64ffw</v>
      </c>
      <c r="E13" s="83" t="str">
        <f>IF(建机专用!E13&lt;&gt;"",建机专用!E13,"")</f>
        <v>cf02.e17w.eu.org</v>
      </c>
      <c r="F13" s="84" t="str">
        <f t="shared" si="0"/>
        <v xml:space="preserve">  - {name: VP12_VMESS_WS, server: cf02.e17w.eu.org, port: 443, type: vmess, uuid: 734e3489-2992-49ac-adb4-1194ee679bb9, alterId: 0, cipher: auto, tls: true, skip-cert-verify: false, servername: vp12.yourdomain.com, network: ws, ws-opts: {path: /64ffwvws, headers: {Host: vp12.yourdomain.com}}, udp: true}</v>
      </c>
      <c r="G13" s="103" t="str">
        <f t="shared" si="1"/>
        <v xml:space="preserve">    - "VP12_VMESS_WS"</v>
      </c>
      <c r="H13" s="84" t="str">
        <f t="shared" si="2"/>
        <v xml:space="preserve">  - {"name":"VP12_TROJAN_GRPC","type":"trojan","server":"cf02.e17w.eu.org","port":443,"udp":true,"password":"734e3489-2992-49ac-adb4-1194ee679bb9","sni":"vp12.yourdomain.com","skip-cert-verify":true,"network":"grpc","grpc-opts":{"grpc-service-name":"64ffwtrojangrpc"},"alpn":["h2"]}</v>
      </c>
      <c r="I13" s="103" t="str">
        <f t="shared" si="3"/>
        <v xml:space="preserve">    - "VP12_TROJAN_GRPC"</v>
      </c>
      <c r="J13" s="84" t="str">
        <f t="shared" si="4"/>
        <v xml:space="preserve">  - {name: VP12_VLESS_WS, server: cf02.e17w.eu.org, port: 443, type: vless, uuid: 734e3489-2992-49ac-adb4-1194ee679bb9, tls: true, skip-cert-verify: false, servername: vp12.yourdomain.com, network: ws, ws-opts: {path: /64ffwws, headers: {Host: vp12.yourdomain.com}}, udp: true}</v>
      </c>
      <c r="K13" s="103" t="str">
        <f t="shared" si="5"/>
        <v xml:space="preserve">    - "VP12_VLESS_WS"</v>
      </c>
    </row>
    <row r="14" spans="1:11" x14ac:dyDescent="0.25">
      <c r="A14" s="80">
        <v>13</v>
      </c>
      <c r="B14" s="81" t="str">
        <f>建机专用!B14</f>
        <v>e3dbab35-ce51-469c-abc9-bde1755ff003</v>
      </c>
      <c r="C14" s="83" t="str">
        <f>建机专用!C14</f>
        <v>vp13.yourdomain.com</v>
      </c>
      <c r="D14" s="83" t="str">
        <f>IF(建机专用!D14&lt;&gt;"",建机专用!D14,"")</f>
        <v>64ffw</v>
      </c>
      <c r="E14" s="83" t="str">
        <f>IF(建机专用!E14&lt;&gt;"",建机专用!E14,"")</f>
        <v>cf02.e18w.eu.org</v>
      </c>
      <c r="F14" s="84" t="str">
        <f t="shared" si="0"/>
        <v xml:space="preserve">  - {name: VP13_VMESS_WS, server: cf02.e18w.eu.org, port: 443, type: vmess, uuid: e3dbab35-ce51-469c-abc9-bde1755ff003, alterId: 0, cipher: auto, tls: true, skip-cert-verify: false, servername: vp13.yourdomain.com, network: ws, ws-opts: {path: /64ffwvws, headers: {Host: vp13.yourdomain.com}}, udp: true}</v>
      </c>
      <c r="G14" s="103" t="str">
        <f t="shared" si="1"/>
        <v xml:space="preserve">    - "VP13_VMESS_WS"</v>
      </c>
      <c r="H14" s="84" t="str">
        <f t="shared" si="2"/>
        <v xml:space="preserve">  - {"name":"VP13_TROJAN_GRPC","type":"trojan","server":"cf02.e18w.eu.org","port":443,"udp":true,"password":"e3dbab35-ce51-469c-abc9-bde1755ff003","sni":"vp13.yourdomain.com","skip-cert-verify":true,"network":"grpc","grpc-opts":{"grpc-service-name":"64ffwtrojangrpc"},"alpn":["h2"]}</v>
      </c>
      <c r="I14" s="103" t="str">
        <f t="shared" si="3"/>
        <v xml:space="preserve">    - "VP13_TROJAN_GRPC"</v>
      </c>
      <c r="J14" s="84" t="str">
        <f t="shared" si="4"/>
        <v xml:space="preserve">  - {name: VP13_VLESS_WS, server: cf02.e18w.eu.org, port: 443, type: vless, uuid: e3dbab35-ce51-469c-abc9-bde1755ff003, tls: true, skip-cert-verify: false, servername: vp13.yourdomain.com, network: ws, ws-opts: {path: /64ffwws, headers: {Host: vp13.yourdomain.com}}, udp: true}</v>
      </c>
      <c r="K14" s="103" t="str">
        <f t="shared" si="5"/>
        <v xml:space="preserve">    - "VP13_VLESS_WS"</v>
      </c>
    </row>
    <row r="15" spans="1:11" x14ac:dyDescent="0.25">
      <c r="A15" s="80">
        <v>14</v>
      </c>
      <c r="B15" s="81" t="str">
        <f>建机专用!B15</f>
        <v>60780c50-8c0e-40a3-b13f-9ae789445b74</v>
      </c>
      <c r="C15" s="83" t="str">
        <f>建机专用!C15</f>
        <v>vp14.yourdomain.com</v>
      </c>
      <c r="D15" s="83" t="str">
        <f>IF(建机专用!D15&lt;&gt;"",建机专用!D15,"")</f>
        <v>64ffw</v>
      </c>
      <c r="E15" s="83" t="str">
        <f>IF(建机专用!E15&lt;&gt;"",建机专用!E15,"")</f>
        <v>cf02.e19w.eu.org</v>
      </c>
      <c r="F15" s="84" t="str">
        <f t="shared" si="0"/>
        <v xml:space="preserve">  - {name: VP14_VMESS_WS, server: cf02.e19w.eu.org, port: 443, type: vmess, uuid: 60780c50-8c0e-40a3-b13f-9ae789445b74, alterId: 0, cipher: auto, tls: true, skip-cert-verify: false, servername: vp14.yourdomain.com, network: ws, ws-opts: {path: /64ffwvws, headers: {Host: vp14.yourdomain.com}}, udp: true}</v>
      </c>
      <c r="G15" s="103" t="str">
        <f t="shared" si="1"/>
        <v xml:space="preserve">    - "VP14_VMESS_WS"</v>
      </c>
      <c r="H15" s="84" t="str">
        <f t="shared" si="2"/>
        <v xml:space="preserve">  - {"name":"VP14_TROJAN_GRPC","type":"trojan","server":"cf02.e19w.eu.org","port":443,"udp":true,"password":"60780c50-8c0e-40a3-b13f-9ae789445b74","sni":"vp14.yourdomain.com","skip-cert-verify":true,"network":"grpc","grpc-opts":{"grpc-service-name":"64ffwtrojangrpc"},"alpn":["h2"]}</v>
      </c>
      <c r="I15" s="103" t="str">
        <f t="shared" si="3"/>
        <v xml:space="preserve">    - "VP14_TROJAN_GRPC"</v>
      </c>
      <c r="J15" s="84" t="str">
        <f t="shared" si="4"/>
        <v xml:space="preserve">  - {name: VP14_VLESS_WS, server: cf02.e19w.eu.org, port: 443, type: vless, uuid: 60780c50-8c0e-40a3-b13f-9ae789445b74, tls: true, skip-cert-verify: false, servername: vp14.yourdomain.com, network: ws, ws-opts: {path: /64ffwws, headers: {Host: vp14.yourdomain.com}}, udp: true}</v>
      </c>
      <c r="K15" s="103" t="str">
        <f t="shared" si="5"/>
        <v xml:space="preserve">    - "VP14_VLESS_WS"</v>
      </c>
    </row>
    <row r="16" spans="1:11" x14ac:dyDescent="0.25">
      <c r="A16" s="80">
        <v>15</v>
      </c>
      <c r="B16" s="81" t="str">
        <f>建机专用!B16</f>
        <v>fc0b7ecd-4fad-40ff-90da-412a4aab8ad6</v>
      </c>
      <c r="C16" s="83" t="str">
        <f>建机专用!C16</f>
        <v>vp15.yourdomain.com</v>
      </c>
      <c r="D16" s="83" t="str">
        <f>IF(建机专用!D16&lt;&gt;"",建机专用!D16,"")</f>
        <v>64ffw</v>
      </c>
      <c r="E16" s="83" t="str">
        <f>IF(建机专用!E16&lt;&gt;"",建机专用!E16,"")</f>
        <v>cf02.e20w.eu.org</v>
      </c>
      <c r="F16" s="84" t="str">
        <f t="shared" si="0"/>
        <v xml:space="preserve">  - {name: VP15_VMESS_WS, server: cf02.e20w.eu.org, port: 443, type: vmess, uuid: fc0b7ecd-4fad-40ff-90da-412a4aab8ad6, alterId: 0, cipher: auto, tls: true, skip-cert-verify: false, servername: vp15.yourdomain.com, network: ws, ws-opts: {path: /64ffwvws, headers: {Host: vp15.yourdomain.com}}, udp: true}</v>
      </c>
      <c r="G16" s="103" t="str">
        <f t="shared" si="1"/>
        <v xml:space="preserve">    - "VP15_VMESS_WS"</v>
      </c>
      <c r="H16" s="84" t="str">
        <f t="shared" si="2"/>
        <v xml:space="preserve">  - {"name":"VP15_TROJAN_GRPC","type":"trojan","server":"cf02.e20w.eu.org","port":443,"udp":true,"password":"fc0b7ecd-4fad-40ff-90da-412a4aab8ad6","sni":"vp15.yourdomain.com","skip-cert-verify":true,"network":"grpc","grpc-opts":{"grpc-service-name":"64ffwtrojangrpc"},"alpn":["h2"]}</v>
      </c>
      <c r="I16" s="103" t="str">
        <f t="shared" si="3"/>
        <v xml:space="preserve">    - "VP15_TROJAN_GRPC"</v>
      </c>
      <c r="J16" s="84" t="str">
        <f t="shared" si="4"/>
        <v xml:space="preserve">  - {name: VP15_VLESS_WS, server: cf02.e20w.eu.org, port: 443, type: vless, uuid: fc0b7ecd-4fad-40ff-90da-412a4aab8ad6, tls: true, skip-cert-verify: false, servername: vp15.yourdomain.com, network: ws, ws-opts: {path: /64ffwws, headers: {Host: vp15.yourdomain.com}}, udp: true}</v>
      </c>
      <c r="K16" s="103" t="str">
        <f t="shared" si="5"/>
        <v xml:space="preserve">    - "VP15_VLESS_WS"</v>
      </c>
    </row>
    <row r="17" spans="1:11" x14ac:dyDescent="0.25">
      <c r="A17" s="80">
        <v>16</v>
      </c>
      <c r="B17" s="81" t="str">
        <f>建机专用!B17</f>
        <v>8d76ae13-3fb3-4c5f-b5f9-738abf3bb43a</v>
      </c>
      <c r="C17" s="83" t="str">
        <f>建机专用!C17</f>
        <v>vp16.yourdomain.com</v>
      </c>
      <c r="D17" s="83" t="str">
        <f>IF(建机专用!D17&lt;&gt;"",建机专用!D17,"")</f>
        <v>64ffw</v>
      </c>
      <c r="E17" s="83" t="str">
        <f>IF(建机专用!E17&lt;&gt;"",建机专用!E17,"")</f>
        <v>cf02.e21w.eu.org</v>
      </c>
      <c r="F17" s="84" t="str">
        <f t="shared" si="0"/>
        <v xml:space="preserve">  - {name: VP16_VMESS_WS, server: cf02.e21w.eu.org, port: 443, type: vmess, uuid: 8d76ae13-3fb3-4c5f-b5f9-738abf3bb43a, alterId: 0, cipher: auto, tls: true, skip-cert-verify: false, servername: vp16.yourdomain.com, network: ws, ws-opts: {path: /64ffwvws, headers: {Host: vp16.yourdomain.com}}, udp: true}</v>
      </c>
      <c r="G17" s="103" t="str">
        <f t="shared" si="1"/>
        <v xml:space="preserve">    - "VP16_VMESS_WS"</v>
      </c>
      <c r="H17" s="84" t="str">
        <f t="shared" si="2"/>
        <v xml:space="preserve">  - {"name":"VP16_TROJAN_GRPC","type":"trojan","server":"cf02.e21w.eu.org","port":443,"udp":true,"password":"8d76ae13-3fb3-4c5f-b5f9-738abf3bb43a","sni":"vp16.yourdomain.com","skip-cert-verify":true,"network":"grpc","grpc-opts":{"grpc-service-name":"64ffwtrojangrpc"},"alpn":["h2"]}</v>
      </c>
      <c r="I17" s="103" t="str">
        <f t="shared" si="3"/>
        <v xml:space="preserve">    - "VP16_TROJAN_GRPC"</v>
      </c>
      <c r="J17" s="84" t="str">
        <f t="shared" si="4"/>
        <v xml:space="preserve">  - {name: VP16_VLESS_WS, server: cf02.e21w.eu.org, port: 443, type: vless, uuid: 8d76ae13-3fb3-4c5f-b5f9-738abf3bb43a, tls: true, skip-cert-verify: false, servername: vp16.yourdomain.com, network: ws, ws-opts: {path: /64ffwws, headers: {Host: vp16.yourdomain.com}}, udp: true}</v>
      </c>
      <c r="K17" s="103" t="str">
        <f t="shared" si="5"/>
        <v xml:space="preserve">    - "VP16_VLESS_WS"</v>
      </c>
    </row>
    <row r="18" spans="1:11" x14ac:dyDescent="0.25">
      <c r="A18" s="80">
        <v>17</v>
      </c>
      <c r="B18" s="81" t="str">
        <f>建机专用!B18</f>
        <v>5cda6eca-aa92-4030-9fb4-7259bfbce5d7</v>
      </c>
      <c r="C18" s="83" t="str">
        <f>建机专用!C18</f>
        <v>vp17.yourdomain.com</v>
      </c>
      <c r="D18" s="83" t="str">
        <f>IF(建机专用!D18&lt;&gt;"",建机专用!D18,"")</f>
        <v>64ffw</v>
      </c>
      <c r="E18" s="83" t="str">
        <f>IF(建机专用!E18&lt;&gt;"",建机专用!E18,"")</f>
        <v>cf02.e22w.eu.org</v>
      </c>
      <c r="F18" s="84" t="str">
        <f t="shared" si="0"/>
        <v xml:space="preserve">  - {name: VP17_VMESS_WS, server: cf02.e22w.eu.org, port: 443, type: vmess, uuid: 5cda6eca-aa92-4030-9fb4-7259bfbce5d7, alterId: 0, cipher: auto, tls: true, skip-cert-verify: false, servername: vp17.yourdomain.com, network: ws, ws-opts: {path: /64ffwvws, headers: {Host: vp17.yourdomain.com}}, udp: true}</v>
      </c>
      <c r="G18" s="103" t="str">
        <f t="shared" si="1"/>
        <v xml:space="preserve">    - "VP17_VMESS_WS"</v>
      </c>
      <c r="H18" s="84" t="str">
        <f t="shared" si="2"/>
        <v xml:space="preserve">  - {"name":"VP17_TROJAN_GRPC","type":"trojan","server":"cf02.e22w.eu.org","port":443,"udp":true,"password":"5cda6eca-aa92-4030-9fb4-7259bfbce5d7","sni":"vp17.yourdomain.com","skip-cert-verify":true,"network":"grpc","grpc-opts":{"grpc-service-name":"64ffwtrojangrpc"},"alpn":["h2"]}</v>
      </c>
      <c r="I18" s="103" t="str">
        <f t="shared" si="3"/>
        <v xml:space="preserve">    - "VP17_TROJAN_GRPC"</v>
      </c>
      <c r="J18" s="84" t="str">
        <f t="shared" si="4"/>
        <v xml:space="preserve">  - {name: VP17_VLESS_WS, server: cf02.e22w.eu.org, port: 443, type: vless, uuid: 5cda6eca-aa92-4030-9fb4-7259bfbce5d7, tls: true, skip-cert-verify: false, servername: vp17.yourdomain.com, network: ws, ws-opts: {path: /64ffwws, headers: {Host: vp17.yourdomain.com}}, udp: true}</v>
      </c>
      <c r="K18" s="103" t="str">
        <f t="shared" si="5"/>
        <v xml:space="preserve">    - "VP17_VLESS_WS"</v>
      </c>
    </row>
    <row r="19" spans="1:11" x14ac:dyDescent="0.25">
      <c r="A19" s="80">
        <v>18</v>
      </c>
      <c r="B19" s="81" t="str">
        <f>建机专用!B19</f>
        <v>52bc0849-d32e-4c9b-a912-b48ecfb14088</v>
      </c>
      <c r="C19" s="83" t="str">
        <f>建机专用!C19</f>
        <v>vp18.yourdomain.com</v>
      </c>
      <c r="D19" s="83" t="str">
        <f>IF(建机专用!D19&lt;&gt;"",建机专用!D19,"")</f>
        <v>64ffw</v>
      </c>
      <c r="E19" s="83" t="str">
        <f>IF(建机专用!E19&lt;&gt;"",建机专用!E19,"")</f>
        <v>cf02.e23w.eu.org</v>
      </c>
      <c r="F19" s="84" t="str">
        <f t="shared" si="0"/>
        <v xml:space="preserve">  - {name: VP18_VMESS_WS, server: cf02.e23w.eu.org, port: 443, type: vmess, uuid: 52bc0849-d32e-4c9b-a912-b48ecfb14088, alterId: 0, cipher: auto, tls: true, skip-cert-verify: false, servername: vp18.yourdomain.com, network: ws, ws-opts: {path: /64ffwvws, headers: {Host: vp18.yourdomain.com}}, udp: true}</v>
      </c>
      <c r="G19" s="103" t="str">
        <f t="shared" si="1"/>
        <v xml:space="preserve">    - "VP18_VMESS_WS"</v>
      </c>
      <c r="H19" s="84" t="str">
        <f t="shared" si="2"/>
        <v xml:space="preserve">  - {"name":"VP18_TROJAN_GRPC","type":"trojan","server":"cf02.e23w.eu.org","port":443,"udp":true,"password":"52bc0849-d32e-4c9b-a912-b48ecfb14088","sni":"vp18.yourdomain.com","skip-cert-verify":true,"network":"grpc","grpc-opts":{"grpc-service-name":"64ffwtrojangrpc"},"alpn":["h2"]}</v>
      </c>
      <c r="I19" s="103" t="str">
        <f t="shared" si="3"/>
        <v xml:space="preserve">    - "VP18_TROJAN_GRPC"</v>
      </c>
      <c r="J19" s="84" t="str">
        <f t="shared" si="4"/>
        <v xml:space="preserve">  - {name: VP18_VLESS_WS, server: cf02.e23w.eu.org, port: 443, type: vless, uuid: 52bc0849-d32e-4c9b-a912-b48ecfb14088, tls: true, skip-cert-verify: false, servername: vp18.yourdomain.com, network: ws, ws-opts: {path: /64ffwws, headers: {Host: vp18.yourdomain.com}}, udp: true}</v>
      </c>
      <c r="K19" s="103" t="str">
        <f t="shared" si="5"/>
        <v xml:space="preserve">    - "VP18_VLESS_WS"</v>
      </c>
    </row>
    <row r="20" spans="1:11" x14ac:dyDescent="0.25">
      <c r="A20" s="80">
        <v>19</v>
      </c>
      <c r="B20" s="81" t="str">
        <f>建机专用!B20</f>
        <v>46fe4ecf-2877-4ae0-9375-b055e0fa257c</v>
      </c>
      <c r="C20" s="83" t="str">
        <f>建机专用!C20</f>
        <v>vp19.yourdomain.com</v>
      </c>
      <c r="D20" s="83" t="str">
        <f>IF(建机专用!D20&lt;&gt;"",建机专用!D20,"")</f>
        <v>64ffw</v>
      </c>
      <c r="E20" s="83" t="str">
        <f>IF(建机专用!E20&lt;&gt;"",建机专用!E20,"")</f>
        <v>cf02.e24w.eu.org</v>
      </c>
      <c r="F20" s="84" t="str">
        <f t="shared" ref="F20:F21" si="6">"  - {name: "&amp;UPPER(LEFT(C20,FIND(".",C20)-1))&amp;"_VMESS_WS"&amp;", server: "&amp;IF(E20="",C20,E20)&amp;", port: 443, type: vmess, uuid: "&amp;B20&amp;", alterId: 0, cipher: auto, tls: true, skip-cert-verify: false, servername: "&amp;C20&amp;", network: ws, ws-opts: {path: /"&amp;D20&amp;"vws, headers: {Host: "&amp;C20&amp;"}}, udp: true}"</f>
        <v xml:space="preserve">  - {name: VP19_VMESS_WS, server: cf02.e24w.eu.org, port: 443, type: vmess, uuid: 46fe4ecf-2877-4ae0-9375-b055e0fa257c, alterId: 0, cipher: auto, tls: true, skip-cert-verify: false, servername: vp19.yourdomain.com, network: ws, ws-opts: {path: /64ffwvws, headers: {Host: vp19.yourdomain.com}}, udp: true}</v>
      </c>
      <c r="G20" s="103" t="str">
        <f t="shared" ref="G20:G21" si="7">"    - """&amp;UPPER(LEFT(C20,FIND(".",C20)-1)&amp;"_VMESS_WS""")</f>
        <v xml:space="preserve">    - "VP19_VMESS_WS"</v>
      </c>
      <c r="H20" s="84" t="str">
        <f t="shared" si="2"/>
        <v xml:space="preserve">  - {"name":"VP19_TROJAN_GRPC","type":"trojan","server":"cf02.e24w.eu.org","port":443,"udp":true,"password":"46fe4ecf-2877-4ae0-9375-b055e0fa257c","sni":"vp19.yourdomain.com","skip-cert-verify":true,"network":"grpc","grpc-opts":{"grpc-service-name":"64ffwtrojangrpc"},"alpn":["h2"]}</v>
      </c>
      <c r="I20" s="103" t="str">
        <f t="shared" si="3"/>
        <v xml:space="preserve">    - "VP19_TROJAN_GRPC"</v>
      </c>
      <c r="J20" s="84" t="str">
        <f t="shared" ref="J20:J21" si="8">"  - {name: "&amp;UPPER(LEFT(C20,FIND(".",C20)-1))&amp;"_VLESS_WS"&amp;", server: "&amp;IF(E20="",C20,E20)&amp;", port: 443, type: vless, uuid: "&amp;B20&amp;", tls: true, skip-cert-verify: false, servername: "&amp;C20&amp;", network: ws, ws-opts: {path: /"&amp;D20&amp;"ws, headers: {Host: "&amp;C20&amp;"}}, udp: true}"</f>
        <v xml:space="preserve">  - {name: VP19_VLESS_WS, server: cf02.e24w.eu.org, port: 443, type: vless, uuid: 46fe4ecf-2877-4ae0-9375-b055e0fa257c, tls: true, skip-cert-verify: false, servername: vp19.yourdomain.com, network: ws, ws-opts: {path: /64ffwws, headers: {Host: vp19.yourdomain.com}}, udp: true}</v>
      </c>
      <c r="K20" s="103" t="str">
        <f t="shared" ref="K20:K21" si="9">"    - """&amp;UPPER(LEFT(C20,FIND(".",C20)-1)&amp;"_VLESS_WS""")</f>
        <v xml:space="preserve">    - "VP19_VLESS_WS"</v>
      </c>
    </row>
    <row r="21" spans="1:11" x14ac:dyDescent="0.25">
      <c r="A21" s="80">
        <v>20</v>
      </c>
      <c r="B21" s="81" t="str">
        <f>建机专用!B21</f>
        <v>a9b08f59-119f-4700-ab2a-5a60f0563206</v>
      </c>
      <c r="C21" s="83" t="str">
        <f>建机专用!C21</f>
        <v>vp20.yourdomain.com</v>
      </c>
      <c r="D21" s="83" t="str">
        <f>IF(建机专用!D21&lt;&gt;"",建机专用!D21,"")</f>
        <v>64ffw</v>
      </c>
      <c r="E21" s="83" t="str">
        <f>IF(建机专用!E21&lt;&gt;"",建机专用!E21,"")</f>
        <v>cf02.e25w.eu.org</v>
      </c>
      <c r="F21" s="84" t="str">
        <f t="shared" si="6"/>
        <v xml:space="preserve">  - {name: VP20_VMESS_WS, server: cf02.e25w.eu.org, port: 443, type: vmess, uuid: a9b08f59-119f-4700-ab2a-5a60f0563206, alterId: 0, cipher: auto, tls: true, skip-cert-verify: false, servername: vp20.yourdomain.com, network: ws, ws-opts: {path: /64ffwvws, headers: {Host: vp20.yourdomain.com}}, udp: true}</v>
      </c>
      <c r="G21" s="103" t="str">
        <f t="shared" si="7"/>
        <v xml:space="preserve">    - "VP20_VMESS_WS"</v>
      </c>
      <c r="H21" s="84" t="str">
        <f t="shared" si="2"/>
        <v xml:space="preserve">  - {"name":"VP20_TROJAN_GRPC","type":"trojan","server":"cf02.e25w.eu.org","port":443,"udp":true,"password":"a9b08f59-119f-4700-ab2a-5a60f0563206","sni":"vp20.yourdomain.com","skip-cert-verify":true,"network":"grpc","grpc-opts":{"grpc-service-name":"64ffwtrojangrpc"},"alpn":["h2"]}</v>
      </c>
      <c r="I21" s="103" t="str">
        <f t="shared" si="3"/>
        <v xml:space="preserve">    - "VP20_TROJAN_GRPC"</v>
      </c>
      <c r="J21" s="84" t="str">
        <f t="shared" si="8"/>
        <v xml:space="preserve">  - {name: VP20_VLESS_WS, server: cf02.e25w.eu.org, port: 443, type: vless, uuid: a9b08f59-119f-4700-ab2a-5a60f0563206, tls: true, skip-cert-verify: false, servername: vp20.yourdomain.com, network: ws, ws-opts: {path: /64ffwws, headers: {Host: vp20.yourdomain.com}}, udp: true}</v>
      </c>
      <c r="K21" s="103" t="str">
        <f t="shared" si="9"/>
        <v xml:space="preserve">    - "VP20_VLESS_WS"</v>
      </c>
    </row>
    <row r="22" spans="1:11" ht="3" customHeight="1" x14ac:dyDescent="0.25">
      <c r="A22" s="87"/>
      <c r="B22" s="88"/>
      <c r="C22" s="90"/>
      <c r="D22" s="90"/>
      <c r="E22" s="90"/>
      <c r="F22" s="91"/>
      <c r="G22" s="92"/>
      <c r="H22" s="91"/>
      <c r="I22" s="93"/>
      <c r="J22" s="91"/>
      <c r="K22" s="94"/>
    </row>
    <row r="23" spans="1:11" x14ac:dyDescent="0.25">
      <c r="A23" s="163" t="s">
        <v>462</v>
      </c>
      <c r="B23" s="163"/>
      <c r="C23" s="163"/>
      <c r="D23" s="163"/>
      <c r="E23" s="97" t="s">
        <v>3</v>
      </c>
      <c r="F23" s="95" t="s">
        <v>80</v>
      </c>
      <c r="G23" s="96" t="str">
        <f>"- { name: "&amp;$F$23&amp;", type: select, proxies: ["&amp;IF(B2&lt;&gt;"",UPPER(LEFT(C2,FIND(".",C2)-1)&amp;"_"&amp;$E$23&amp;IF(ROW(B2)=$B$32+1,"",", ")),"")&amp;IF(B3&lt;&gt;"",UPPER(LEFT(C3,FIND(".",C3)-1)&amp;"_"&amp;$E$23&amp;IF(ROW(B3)=$B$32+1,"",", ")),"")&amp;IF(B4&lt;&gt;"",UPPER(LEFT(C4,FIND(".",C4)-1)&amp;"_"&amp;$E$23&amp;IF(ROW(B4)=$B$32+1,"",", ")),"")&amp;IF(B5&lt;&gt;"",UPPER(LEFT(C5,FIND(".",C5)-1)&amp;"_"&amp;$E$23&amp;IF(ROW(B5)=$B$32+1,"",", ")),"")&amp;IF(B6&lt;&gt;"",UPPER(LEFT(C6,FIND(".",C6)-1)&amp;"_"&amp;$E$23&amp;IF(ROW(B6)=$B$32+1,"",", ")),"")&amp;IF(B7&lt;&gt;"",UPPER(LEFT(C7,FIND(".",C7)-1)&amp;"_"&amp;$E$23&amp;IF(ROW(B7)=$B$32+1,"",", ")),"")&amp;IF(B8&lt;&gt;"",UPPER(LEFT(C8,FIND(".",C8)-1)&amp;"_"&amp;$E$23&amp;IF(ROW(B8)=$B$32+1,"",", ")),"")&amp;IF(B9&lt;&gt;"",UPPER(LEFT(C9,FIND(".",C9)-1)&amp;"_"&amp;$E$23&amp;IF(ROW(B9)=$B$32+1,"",", ")),"")&amp;IF(B10&lt;&gt;"",UPPER(LEFT(C10,FIND(".",C10)-1)&amp;"_"&amp;$E$23&amp;IF(ROW(B10)=$B$32+1,"",", ")),"")&amp;IF(B11&lt;&gt;"",UPPER(LEFT(C11,FIND(".",C11)-1)&amp;"_"&amp;$E$23&amp;IF(ROW(B11)=$B$32+1,"",", ")),"")&amp;IF(B12&lt;&gt;"",UPPER(LEFT(C12,FIND(".",C12)-1)&amp;"_"&amp;$E$23&amp;IF(ROW(B12)=$B$32+1,"",", ")),"")&amp;IF(B13&lt;&gt;"",UPPER(LEFT(C13,FIND(".",C13)-1)&amp;"_"&amp;$E$23&amp;IF(ROW(B13)=$B$32+1,"",", ")),"")&amp;IF(B14&lt;&gt;"",UPPER(LEFT(C14,FIND(".",C14)-1)&amp;"_"&amp;$E$23&amp;IF(ROW(B14)=$B$32+1,"",", ")),"")&amp;IF(B15&lt;&gt;"",UPPER(LEFT(C15,FIND(".",C15)-1)&amp;"_"&amp;$E$23&amp;IF(ROW(B15)=$B$32+1,"",", ")),"")&amp;IF(B16&lt;&gt;"",UPPER(LEFT(C16,FIND(".",C16)-1)&amp;"_"&amp;$E$23&amp;IF(ROW(B16)=$B$32+1,"",", ")),"")&amp;IF(B17&lt;&gt;"",UPPER(LEFT(C17,FIND(".",C17)-1)&amp;"_"&amp;$E$23&amp;IF(ROW(B17)=$B$32+1,"",", ")),"")&amp;IF(B18&lt;&gt;"",UPPER(LEFT(C18,FIND(".",C18)-1)&amp;"_"&amp;$E$23&amp;IF(ROW(B18)=$B$32+1,"",", ")),"")&amp;IF(B19&lt;&gt;"",UPPER(LEFT(C19,FIND(".",C19)-1)&amp;"_"&amp;$E$23&amp;IF(ROW(B19)=$B$32+1,"",", ")),"")&amp;IF(B20&lt;&gt;"",UPPER(LEFT(C20,FIND(".",C20)-1)&amp;"_"&amp;$E$23&amp;IF(ROW(B20)=$B$32+1,"",", ")),"")&amp;IF(B21&lt;&gt;"",UPPER(LEFT(C21,FIND(".",C21)-1)&amp;"_"&amp;$E$23&amp;IF(ROW(B21)=$B$32+1,"",", ")),"")&amp;"] }"</f>
        <v>- { name: PROXY, type: select, proxies: [VP1_TROJAN_GRPC, VP2_TROJAN_GRPC, VP3_TROJAN_GRPC, VP4_TROJAN_GRPC, VP5_TROJAN_GRPC, VP6_TROJAN_GRPC, VP7_TROJAN_GRPC, VP8_TROJAN_GRPC, VP9_TROJAN_GRPC, VP10_TROJAN_GRPC, VP11_TROJAN_GRPC, VP12_TROJAN_GRPC, VP13_TROJAN_GRPC, VP14_TROJAN_GRPC, VP15_TROJAN_GRPC, VP16_TROJAN_GRPC, VP17_TROJAN_GRPC, VP18_TROJAN_GRPC, VP19_TROJAN_GRPC, VP20_TROJAN_GRPC] }</v>
      </c>
      <c r="H23" s="95" t="s">
        <v>81</v>
      </c>
      <c r="I23" s="96" t="str">
        <f>"- { name: "&amp;H23&amp;", type: url-test, proxies: ["&amp;IF(B2&lt;&gt;"",UPPER(LEFT(C2,FIND(".",C2)-1)&amp;"_"&amp;$E$23&amp;IF(ROW(B2)=$B$32+1,"",", ")),"")&amp;IF(B3&lt;&gt;"",UPPER(LEFT(C3,FIND(".",C3)-1)&amp;"_"&amp;$E$23&amp;IF(ROW(B3)=$B$32+1,"",", ")),"")&amp;IF(B4&lt;&gt;"",UPPER(LEFT(C4,FIND(".",C4)-1)&amp;"_"&amp;$E$23&amp;IF(ROW(B4)=$B$32+1,"",", ")),"")&amp;IF(B5&lt;&gt;"",UPPER(LEFT(C5,FIND(".",C5)-1)&amp;"_"&amp;$E$23&amp;IF(ROW(B5)=$B$32+1,"",", ")),"")&amp;IF(B6&lt;&gt;"",UPPER(LEFT(C6,FIND(".",C6)-1)&amp;"_"&amp;$E$23&amp;IF(ROW(B6)=$B$32+1,"",", ")),"")&amp;IF(B7&lt;&gt;"",UPPER(LEFT(C7,FIND(".",C7)-1)&amp;"_"&amp;$E$23&amp;IF(ROW(B7)=$B$32+1,"",", ")),"")&amp;IF(B8&lt;&gt;"",UPPER(LEFT(C8,FIND(".",C8)-1)&amp;"_"&amp;$E$23&amp;IF(ROW(B8)=$B$32+1,"",", ")),"")&amp;IF(B9&lt;&gt;"",UPPER(LEFT(C9,FIND(".",C9)-1)&amp;"_"&amp;$E$23&amp;IF(ROW(B9)=$B$32+1,"",", ")),"")&amp;IF(B10&lt;&gt;"",UPPER(LEFT(C10,FIND(".",C10)-1)&amp;"_"&amp;$E$23&amp;IF(ROW(B10)=$B$32+1,"",", ")),"")&amp;IF(B11&lt;&gt;"",UPPER(LEFT(C11,FIND(".",C11)-1)&amp;"_"&amp;$E$23&amp;IF(ROW(B11)=$B$32+1,"",", ")),"")&amp;IF(B12&lt;&gt;"",UPPER(LEFT(C12,FIND(".",C12)-1)&amp;"_"&amp;$E$23&amp;IF(ROW(B12)=$B$32+1,"",", ")),"")&amp;IF(B13&lt;&gt;"",UPPER(LEFT(C13,FIND(".",C13)-1)&amp;"_"&amp;$E$23&amp;IF(ROW(B13)=$B$32+1,"",", ")),"")&amp;IF(B14&lt;&gt;"",UPPER(LEFT(C14,FIND(".",C14)-1)&amp;"_"&amp;$E$23&amp;IF(ROW(B14)=$B$32+1,"",", ")),"")&amp;IF(B15&lt;&gt;"",UPPER(LEFT(C15,FIND(".",C15)-1)&amp;"_"&amp;$E$23&amp;IF(ROW(B15)=$B$32+1,"",", ")),"")&amp;IF(B16&lt;&gt;"",UPPER(LEFT(C16,FIND(".",C16)-1)&amp;"_"&amp;$E$23&amp;IF(ROW(B16)=$B$32+1,"",", ")),"")&amp;IF(B17&lt;&gt;"",UPPER(LEFT(C17,FIND(".",C17)-1)&amp;"_"&amp;$E$23&amp;IF(ROW(B17)=$B$32+1,"",", ")),"")&amp;IF(B18&lt;&gt;"",UPPER(LEFT(C18,FIND(".",C18)-1)&amp;"_"&amp;$E$23&amp;IF(ROW(B18)=$B$32+1,"",", ")),"")&amp;IF(B19&lt;&gt;"",UPPER(LEFT(C19,FIND(".",C19)-1)&amp;"_"&amp;$E$23&amp;IF(ROW(B19)=$B$32+1,"",", ")),"")&amp;IF(B20&lt;&gt;"",UPPER(LEFT(C20,FIND(".",C20)-1)&amp;"_"&amp;$E$23&amp;IF(ROW(B20)=$B$32+1,"",", ")),"")&amp;IF(B21&lt;&gt;"",UPPER(LEFT(C21,FIND(".",C21)-1)&amp;"_"&amp;$E$23&amp;IF(ROW(B21)=$B$32+1,"",", ")),"")&amp;"], url: 'http://www.gstatic.com/generate_204', interval: 86400 }"</f>
        <v>- { name: Auto Select, type: url-test, proxies: [VP1_TROJAN_GRPC, VP2_TROJAN_GRPC, VP3_TROJAN_GRPC, VP4_TROJAN_GRPC, VP5_TROJAN_GRPC, VP6_TROJAN_GRPC, VP7_TROJAN_GRPC, VP8_TROJAN_GRPC, VP9_TROJAN_GRPC, VP10_TROJAN_GRPC, VP11_TROJAN_GRPC, VP12_TROJAN_GRPC, VP13_TROJAN_GRPC, VP14_TROJAN_GRPC, VP15_TROJAN_GRPC, VP16_TROJAN_GRPC, VP17_TROJAN_GRPC, VP18_TROJAN_GRPC, VP19_TROJAN_GRPC, VP20_TROJAN_GRPC], url: 'http://www.gstatic.com/generate_204', interval: 86400 }</v>
      </c>
      <c r="J23" s="95" t="s">
        <v>82</v>
      </c>
      <c r="K23" s="96" t="str">
        <f>"- { name: "&amp;J23&amp;", type: fallback, proxies: ["&amp;IF(B2&lt;&gt;"",UPPER(LEFT(C2,FIND(".",C2)-1)&amp;"_"&amp;$E$23&amp;IF(ROW(B2)=$B$32+1,"",", ")),"")&amp;IF(B3&lt;&gt;"",UPPER(LEFT(C3,FIND(".",C3)-1)&amp;"_"&amp;$E$23&amp;IF(ROW(B3)=$B$32+1,"",", ")),"")&amp;IF(B4&lt;&gt;"",UPPER(LEFT(C4,FIND(".",C4)-1)&amp;"_"&amp;$E$23&amp;IF(ROW(B4)=$B$32+1,"",", ")),"")&amp;IF(B5&lt;&gt;"",UPPER(LEFT(C5,FIND(".",C5)-1)&amp;"_"&amp;$E$23&amp;IF(ROW(B5)=$B$32+1,"",", ")),"")&amp;IF(B6&lt;&gt;"",UPPER(LEFT(C6,FIND(".",C6)-1)&amp;"_"&amp;$E$23&amp;IF(ROW(B6)=$B$32+1,"",", ")),"")&amp;IF(B7&lt;&gt;"",UPPER(LEFT(C7,FIND(".",C7)-1)&amp;"_"&amp;$E$23&amp;IF(ROW(B7)=$B$32+1,"",", ")),"")&amp;IF(B8&lt;&gt;"",UPPER(LEFT(C8,FIND(".",C8)-1)&amp;"_"&amp;$E$23&amp;IF(ROW(B8)=$B$32+1,"",", ")),"")&amp;IF(B9&lt;&gt;"",UPPER(LEFT(C9,FIND(".",C9)-1)&amp;"_"&amp;$E$23&amp;IF(ROW(B9)=$B$32+1,"",", ")),"")&amp;IF(B10&lt;&gt;"",UPPER(LEFT(C10,FIND(".",C10)-1)&amp;"_"&amp;$E$23&amp;IF(ROW(B10)=$B$32+1,"",", ")),"")&amp;IF(B11&lt;&gt;"",UPPER(LEFT(C11,FIND(".",C11)-1)&amp;"_"&amp;$E$23&amp;IF(ROW(B11)=$B$32+1,"",", ")),"")&amp;IF(B12&lt;&gt;"",UPPER(LEFT(C12,FIND(".",C12)-1)&amp;"_"&amp;$E$23&amp;IF(ROW(B12)=$B$32+1,"",", ")),"")&amp;IF(B13&lt;&gt;"",UPPER(LEFT(C13,FIND(".",C13)-1)&amp;"_"&amp;$E$23&amp;IF(ROW(B13)=$B$32+1,"",", ")),"")&amp;IF(B14&lt;&gt;"",UPPER(LEFT(C14,FIND(".",C14)-1)&amp;"_"&amp;$E$23&amp;IF(ROW(B14)=$B$32+1,"",", ")),"")&amp;IF(B15&lt;&gt;"",UPPER(LEFT(C15,FIND(".",C15)-1)&amp;"_"&amp;$E$23&amp;IF(ROW(B15)=$B$32+1,"",", ")),"")&amp;IF(B16&lt;&gt;"",UPPER(LEFT(C16,FIND(".",C16)-1)&amp;"_"&amp;$E$23&amp;IF(ROW(B16)=$B$32+1,"",", ")),"")&amp;IF(B17&lt;&gt;"",UPPER(LEFT(C17,FIND(".",C17)-1)&amp;"_"&amp;$E$23&amp;IF(ROW(B17)=$B$32+1,"",", ")),"")&amp;IF(B18&lt;&gt;"",UPPER(LEFT(C18,FIND(".",C18)-1)&amp;"_"&amp;$E$23&amp;IF(ROW(B18)=$B$32+1,"",", ")),"")&amp;IF(B19&lt;&gt;"",UPPER(LEFT(C19,FIND(".",C19)-1)&amp;"_"&amp;$E$23&amp;IF(ROW(B19)=$B$32+1,"",", ")),"")&amp;IF(B20&lt;&gt;"",UPPER(LEFT(C20,FIND(".",C20)-1)&amp;"_"&amp;$E$23&amp;IF(ROW(B20)=$B$32+1,"",", ")),"")&amp;IF(B21&lt;&gt;"",UPPER(LEFT(C21,FIND(".",C21)-1)&amp;"_"&amp;$E$23&amp;IF(ROW(B21)=$B$32+1,"",", ")),"")&amp;"], url: 'http://www.gstatic.com/generate_204', interval: 7200 }"</f>
        <v>- { name: Load Balance, type: fallback, proxies: [VP1_TROJAN_GRPC, VP2_TROJAN_GRPC, VP3_TROJAN_GRPC, VP4_TROJAN_GRPC, VP5_TROJAN_GRPC, VP6_TROJAN_GRPC, VP7_TROJAN_GRPC, VP8_TROJAN_GRPC, VP9_TROJAN_GRPC, VP10_TROJAN_GRPC, VP11_TROJAN_GRPC, VP12_TROJAN_GRPC, VP13_TROJAN_GRPC, VP14_TROJAN_GRPC, VP15_TROJAN_GRPC, VP16_TROJAN_GRPC, VP17_TROJAN_GRPC, VP18_TROJAN_GRPC, VP19_TROJAN_GRPC, VP20_TROJAN_GRPC], url: 'http://www.gstatic.com/generate_204', interval: 7200 }</v>
      </c>
    </row>
    <row r="24" spans="1:11" x14ac:dyDescent="0.25">
      <c r="G24" s="106" t="str">
        <f>IF(B2&lt;&gt;"",UPPER(LEFT(C2,FIND(".",C2)-1)&amp;"_"&amp;$E$23&amp;IF(ROW(B2)=$B$32+1,"",", ")),"")&amp;IF(B3&lt;&gt;"",UPPER(LEFT(C3,FIND(".",C3)-1)&amp;"_"&amp;$E$23&amp;IF(ROW(B3)=$B$32+1,"",", ")),"")&amp;IF(B4&lt;&gt;"",UPPER(LEFT(C4,FIND(".",C4)-1)&amp;"_"&amp;$E$23&amp;IF(ROW(B4)=$B$32+1,"",", ")),"")&amp;IF(B5&lt;&gt;"",UPPER(LEFT(C5,FIND(".",C5)-1)&amp;"_"&amp;$E$23&amp;IF(ROW(B5)=$B$32+1,"",", ")),"")&amp;IF(B6&lt;&gt;"",UPPER(LEFT(C6,FIND(".",C6)-1)&amp;"_"&amp;$E$23&amp;IF(ROW(B6)=$B$32+1,"",", ")),"")&amp;IF(B7&lt;&gt;"",UPPER(LEFT(C7,FIND(".",C7)-1)&amp;"_"&amp;$E$23&amp;IF(ROW(B7)=$B$32+1,"",", ")),"")&amp;IF(B8&lt;&gt;"",UPPER(LEFT(C8,FIND(".",C8)-1)&amp;"_"&amp;$E$23&amp;IF(ROW(B8)=$B$32+1,"",", ")),"")&amp;IF(B9&lt;&gt;"",UPPER(LEFT(C9,FIND(".",C9)-1)&amp;"_"&amp;$E$23&amp;IF(ROW(B9)=$B$32+1,"",", ")),"")&amp;IF(B10&lt;&gt;"",UPPER(LEFT(C10,FIND(".",C10)-1)&amp;"_"&amp;$E$23&amp;IF(ROW(B10)=$B$32+1,"",", ")),"")&amp;IF(B11&lt;&gt;"",UPPER(LEFT(C11,FIND(".",C11)-1)&amp;"_"&amp;$E$23&amp;IF(ROW(B11)=$B$32+1,"",", ")),"")&amp;IF(B12&lt;&gt;"",UPPER(LEFT(C12,FIND(".",C12)-1)&amp;"_"&amp;$E$23&amp;IF(ROW(B12)=$B$32+1,"",", ")),"")&amp;IF(B13&lt;&gt;"",UPPER(LEFT(C13,FIND(".",C13)-1)&amp;"_"&amp;$E$23&amp;IF(ROW(B13)=$B$32+1,"",", ")),"")&amp;IF(B14&lt;&gt;"",UPPER(LEFT(C14,FIND(".",C14)-1)&amp;"_"&amp;$E$23&amp;IF(ROW(B14)=$B$32+1,"",", ")),"")&amp;IF(B15&lt;&gt;"",UPPER(LEFT(C15,FIND(".",C15)-1)&amp;"_"&amp;$E$23&amp;IF(ROW(B15)=$B$32+1,"",", ")),"")&amp;IF(B16&lt;&gt;"",UPPER(LEFT(C16,FIND(".",C16)-1)&amp;"_"&amp;$E$23&amp;IF(ROW(B16)=$B$32+1,"",", ")),"")&amp;IF(B17&lt;&gt;"",UPPER(LEFT(C17,FIND(".",C17)-1)&amp;"_"&amp;$E$23&amp;IF(ROW(B17)=$B$32+1,"",", ")),"")&amp;IF(B18&lt;&gt;"",UPPER(LEFT(C18,FIND(".",C18)-1)&amp;"_"&amp;$E$23&amp;IF(ROW(B18)=$B$32+1,"",", ")),"")&amp;IF(B19&lt;&gt;"",UPPER(LEFT(C19,FIND(".",C19)-1)&amp;"_"&amp;$E$23&amp;IF(ROW(B19)=$B$32+1,"",", ")),"")&amp;IF(B20&lt;&gt;"",UPPER(LEFT(C20,FIND(".",C20)-1)&amp;"_"&amp;$E$23&amp;IF(ROW(B20)=$B$32+1,"",", ")),"")&amp;IF(B21&lt;&gt;"",UPPER(LEFT(C21,FIND(".",C21)-1)&amp;"_"&amp;$E$23&amp;IF(ROW(B21)=$B$32+1,"",", ")),"")</f>
        <v>VP1_TROJAN_GRPC, VP2_TROJAN_GRPC, VP3_TROJAN_GRPC, VP4_TROJAN_GRPC, VP5_TROJAN_GRPC, VP6_TROJAN_GRPC, VP7_TROJAN_GRPC, VP8_TROJAN_GRPC, VP9_TROJAN_GRPC, VP10_TROJAN_GRPC, VP11_TROJAN_GRPC, VP12_TROJAN_GRPC, VP13_TROJAN_GRPC, VP14_TROJAN_GRPC, VP15_TROJAN_GRPC, VP16_TROJAN_GRPC, VP17_TROJAN_GRPC, VP18_TROJAN_GRPC, VP19_TROJAN_GRPC, VP20_TROJAN_GRPC</v>
      </c>
    </row>
    <row r="25" spans="1:11" x14ac:dyDescent="0.25">
      <c r="C25" s="107"/>
      <c r="D25" s="107"/>
    </row>
    <row r="26" spans="1:11" ht="4.95" customHeight="1" x14ac:dyDescent="0.25">
      <c r="F26" s="160"/>
      <c r="G26" s="160"/>
      <c r="H26" s="160"/>
    </row>
    <row r="27" spans="1:11" x14ac:dyDescent="0.25">
      <c r="B27" s="162" t="s">
        <v>459</v>
      </c>
      <c r="C27" s="160"/>
      <c r="D27" s="160"/>
      <c r="E27" s="160"/>
      <c r="F27" s="160"/>
      <c r="G27" s="160"/>
      <c r="H27" s="160"/>
    </row>
    <row r="28" spans="1:11" ht="4.95" customHeight="1" x14ac:dyDescent="0.25">
      <c r="B28" s="162"/>
    </row>
    <row r="29" spans="1:11" x14ac:dyDescent="0.25">
      <c r="B29" s="162"/>
      <c r="E29" s="108"/>
    </row>
    <row r="30" spans="1:11" ht="4.95" customHeight="1" x14ac:dyDescent="0.25">
      <c r="B30" s="162"/>
    </row>
    <row r="31" spans="1:11" x14ac:dyDescent="0.25">
      <c r="B31" s="162"/>
      <c r="C31" s="104"/>
    </row>
    <row r="32" spans="1:11" x14ac:dyDescent="0.25">
      <c r="B32" s="109">
        <f>COUNTA(B2:B21)</f>
        <v>20</v>
      </c>
      <c r="C32" s="104"/>
    </row>
    <row r="33" spans="3:3" x14ac:dyDescent="0.25">
      <c r="C33" s="104"/>
    </row>
    <row r="34" spans="3:3" ht="4.95" customHeight="1" x14ac:dyDescent="0.25"/>
  </sheetData>
  <sheetProtection algorithmName="SHA-512" hashValue="x5JvvqNPLa2vw14Q9Ogprfyjlm1kvRlGQLB62PHZDf4H9179XqkH0ehzCRJK2XTW2HO0Le0S1rRe82k7BMwnbw==" saltValue="GEtKTUm2lkGFpJdxCpycpw==" spinCount="100000" sheet="1" objects="1" scenarios="1"/>
  <protectedRanges>
    <protectedRange sqref="E23" name="区域1"/>
  </protectedRanges>
  <mergeCells count="4">
    <mergeCell ref="F26:H26"/>
    <mergeCell ref="C27:H27"/>
    <mergeCell ref="B27:B31"/>
    <mergeCell ref="A23:D23"/>
  </mergeCells>
  <phoneticPr fontId="7" type="noConversion"/>
  <dataValidations count="1">
    <dataValidation type="list" allowBlank="1" showInputMessage="1" showErrorMessage="1" sqref="E23" xr:uid="{376AF20D-FB1D-45F9-9E67-2A444111B273}">
      <formula1>"VMESS_WS,Trojan_gRPC,VLESS_WS"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3E354-688E-4C99-B2E9-9FE5236B6118}">
  <sheetPr codeName="Sheet5"/>
  <dimension ref="A1:K35"/>
  <sheetViews>
    <sheetView workbookViewId="0">
      <pane ySplit="1" topLeftCell="A2" activePane="bottomLeft" state="frozen"/>
      <selection pane="bottomLeft" activeCell="F44" sqref="F44:F45"/>
    </sheetView>
  </sheetViews>
  <sheetFormatPr defaultRowHeight="13.8" x14ac:dyDescent="0.25"/>
  <cols>
    <col min="1" max="1" width="3" style="11" bestFit="1" customWidth="1"/>
    <col min="2" max="2" width="37.77734375" style="7" customWidth="1"/>
    <col min="3" max="3" width="12.77734375" style="7" customWidth="1"/>
    <col min="4" max="4" width="10.77734375" style="7" customWidth="1"/>
    <col min="5" max="5" width="20" style="2" customWidth="1"/>
    <col min="6" max="6" width="30.5546875" style="12" customWidth="1"/>
    <col min="7" max="7" width="27.109375" style="12" bestFit="1" customWidth="1"/>
    <col min="8" max="8" width="25.88671875" style="12" customWidth="1"/>
    <col min="9" max="9" width="29.21875" style="7" customWidth="1"/>
    <col min="10" max="10" width="26.33203125" style="7" customWidth="1"/>
    <col min="11" max="11" width="32.44140625" style="2" customWidth="1"/>
    <col min="12" max="16384" width="8.88671875" style="7"/>
  </cols>
  <sheetData>
    <row r="1" spans="1:11" s="23" customFormat="1" ht="15.6" x14ac:dyDescent="0.25">
      <c r="A1" s="19" t="str">
        <f>建机专用!A1</f>
        <v>序</v>
      </c>
      <c r="B1" s="19" t="str">
        <f>建机专用!B1</f>
        <v>密码/UUID</v>
      </c>
      <c r="C1" s="19" t="str">
        <f>建机专用!C1</f>
        <v>域名</v>
      </c>
      <c r="D1" s="19" t="str">
        <f>建机专用!D1</f>
        <v>PATH</v>
      </c>
      <c r="E1" s="19" t="str">
        <f>建机专用!E1</f>
        <v>优选IP</v>
      </c>
      <c r="F1" s="20" t="s">
        <v>84</v>
      </c>
      <c r="G1" s="24" t="s">
        <v>85</v>
      </c>
      <c r="H1" s="20" t="s">
        <v>19</v>
      </c>
      <c r="I1" s="25" t="s">
        <v>86</v>
      </c>
      <c r="J1" s="20" t="s">
        <v>36</v>
      </c>
      <c r="K1" s="25" t="s">
        <v>87</v>
      </c>
    </row>
    <row r="2" spans="1:11" s="86" customFormat="1" x14ac:dyDescent="0.25">
      <c r="A2" s="80">
        <v>1</v>
      </c>
      <c r="B2" s="81" t="str" cm="1">
        <f t="array" aca="1" ref="B2" ca="1">IF(ROW()-2&lt;$B$32,INDIRECT("建机专用!"&amp;"B"&amp;$B$28+1),"")</f>
        <v>e514eace-f7fc-4689-9547-91b810c9b906</v>
      </c>
      <c r="C2" s="82" t="str" cm="1">
        <f t="array" aca="1" ref="C2" ca="1">IF(ROW()-2&lt;$B$32,IF(B2&lt;&gt;"",INDIRECT("建机专用!"&amp;"C"&amp;$B$28+1),""),"")</f>
        <v>vp3.yourdomain.com</v>
      </c>
      <c r="D2" s="83" t="str">
        <f>IF(ROW()-2&lt;$B$32,IF(建机专用!D2&lt;&gt;"",建机专用!D2,""),"")</f>
        <v>64ffw</v>
      </c>
      <c r="E2" s="83" t="str">
        <f>IF(ROW()-2&lt;$B$32,IF(建机专用!E2&lt;&gt;"",建机专用!E2,""),"")</f>
        <v>cf02.e6w.eu.org</v>
      </c>
      <c r="F2" s="84" t="str">
        <f t="shared" ref="F2:F21" ca="1" si="0">IF(ROW()-2&lt;$B$32,"  - {name: "&amp;UPPER(LEFT(C2,FIND(".",C2)-1))&amp;"_VMESS_WS_"&amp;UPPER(LEFT(E2,FIND(".",E2)-1))&amp;""&amp;", server: "&amp;IF(E2="",C2,E2)&amp;", port: 443, type: vmess, uuid: "&amp;B2&amp;", alterId: 0, cipher: auto, tls: true, skip-cert-verify: false, servername: "&amp;C2&amp;", network: ws, ws-opts: {path: /"&amp;D2&amp;"vws, headers: {Host: "&amp;C2&amp;"}}, udp: true}","")</f>
        <v xml:space="preserve">  - {name: VP3_VMESS_WS_CF02, server: cf02.e6w.eu.org, port: 443, type: vmess, uuid: e514eace-f7fc-4689-9547-91b810c9b906, alterId: 0, cipher: auto, tls: true, skip-cert-verify: false, servername: vp3.yourdomain.com, network: ws, ws-opts: {path: /64ffwvws, headers: {Host: vp3.yourdomain.com}}, udp: true}</v>
      </c>
      <c r="G2" s="85" t="str">
        <f t="shared" ref="G2:G21" ca="1" si="1">IF(ROW()-2&lt;$B$32,"    - """&amp;UPPER(LEFT(C2,FIND(".",C2)-1)&amp;"_VMESS_WS")&amp;"_"&amp;UPPER(LEFT(E2,FIND(".",E2)-1))&amp;"""","")</f>
        <v xml:space="preserve">    - "VP3_VMESS_WS_CF02"</v>
      </c>
      <c r="H2" s="84" t="str">
        <f t="shared" ref="H2:H21" ca="1" si="2">IF(ROW()-2&lt;$B$32,"  - {""name"":"""&amp;UPPER(LEFT(C2,FIND(".",C2)-1))&amp;"_TROJAN_GRPC"&amp;"_"&amp;UPPER(LEFT(E2,FIND(".",E2)-1))&amp;""",""type"":""trojan"",""server"":"&amp;""""&amp;IF(E2="",C2,E2)&amp;""",""port"":443,""udp"":true,""password"":"""&amp;B2&amp;""",""sni"":"""&amp;C2&amp;""",""skip-cert-verify"":true,""network"":""grpc"",""grpc-opts"":{""grpc-service-name"":"""&amp;D2&amp;"trojangrpc""},""alpn"":[""h2""]}","")</f>
        <v xml:space="preserve">  - {"name":"VP3_TROJAN_GRPC_CF02","type":"trojan","server":"cf02.e6w.eu.org","port":443,"udp":true,"password":"e514eace-f7fc-4689-9547-91b810c9b906","sni":"vp3.yourdomain.com","skip-cert-verify":true,"network":"grpc","grpc-opts":{"grpc-service-name":"64ffwtrojangrpc"},"alpn":["h2"]}</v>
      </c>
      <c r="I2" s="85" t="str">
        <f t="shared" ref="I2:I21" ca="1" si="3">IF(ROW()-2&lt;$B$32,"    - """&amp;UPPER(LEFT(C2,FIND(".",C2)-1))&amp;"_TROJAN_GRPC_"&amp;UPPER(LEFT(E2,FIND(".",E2)-1))&amp;"""","")</f>
        <v xml:space="preserve">    - "VP3_TROJAN_GRPC_CF02"</v>
      </c>
      <c r="J2" s="84" t="str">
        <f t="shared" ref="J2:J21" ca="1" si="4">IF(ROW()-2&lt;$B$32,"  - {name: "&amp;UPPER(LEFT(C2,FIND(".",C2)-1))&amp;"_VLESS_WS"&amp;"_"&amp;UPPER(LEFT(E2,FIND(".",E2)-1))&amp;""&amp;", server: "&amp;IF(E2="",C2,E2)&amp;", port: 443, type: vless, uuid: "&amp;B2&amp;", tls: true, skip-cert-verify: false, servername: "&amp;C2&amp;", network: ws, ws-opts: {path: /"&amp;D2&amp;"ws, headers: {Host: "&amp;C2&amp;"}}, udp: true}","")</f>
        <v xml:space="preserve">  - {name: VP3_VLESS_WS_CF02, server: cf02.e6w.eu.org, port: 443, type: vless, uuid: e514eace-f7fc-4689-9547-91b810c9b906, tls: true, skip-cert-verify: false, servername: vp3.yourdomain.com, network: ws, ws-opts: {path: /64ffwws, headers: {Host: vp3.yourdomain.com}}, udp: true}</v>
      </c>
      <c r="K2" s="85" t="str">
        <f t="shared" ref="K2:K21" ca="1" si="5">IF(ROW()-2&lt;$B$32,"    - """&amp;UPPER(LEFT(C2,FIND(".",C2)-1)&amp;"_VLESS_WS")&amp;"_"&amp;UPPER(LEFT(E2,FIND(".",E2)-1))&amp;"""","")</f>
        <v xml:space="preserve">    - "VP3_VLESS_WS_CF02"</v>
      </c>
    </row>
    <row r="3" spans="1:11" s="86" customFormat="1" x14ac:dyDescent="0.25">
      <c r="A3" s="80">
        <v>2</v>
      </c>
      <c r="B3" s="81" t="str" cm="1">
        <f t="array" aca="1" ref="B3" ca="1">IF(ROW()-2&lt;$B$32,INDIRECT("建机专用!"&amp;"B"&amp;$B$28+1),"")</f>
        <v>e514eace-f7fc-4689-9547-91b810c9b906</v>
      </c>
      <c r="C3" s="82" t="str" cm="1">
        <f t="array" aca="1" ref="C3" ca="1">IF(ROW()-2&lt;$B$32,IF(B3&lt;&gt;"",INDIRECT("建机专用!"&amp;"C"&amp;$B$28+1),""),"")</f>
        <v>vp3.yourdomain.com</v>
      </c>
      <c r="D3" s="83" t="str">
        <f>IF(ROW()-2&lt;$B$32,IF(建机专用!D3&lt;&gt;"",建机专用!D3,""),"")</f>
        <v>64ffw</v>
      </c>
      <c r="E3" s="83" t="str">
        <f>IF(ROW()-2&lt;$B$32,IF(建机专用!E3&lt;&gt;"",建机专用!E3,""),"")</f>
        <v>cf02.e7w.eu.org</v>
      </c>
      <c r="F3" s="84" t="str">
        <f t="shared" ca="1" si="0"/>
        <v xml:space="preserve">  - {name: VP3_VMESS_WS_CF02, server: cf02.e7w.eu.org, port: 443, type: vmess, uuid: e514eace-f7fc-4689-9547-91b810c9b906, alterId: 0, cipher: auto, tls: true, skip-cert-verify: false, servername: vp3.yourdomain.com, network: ws, ws-opts: {path: /64ffwvws, headers: {Host: vp3.yourdomain.com}}, udp: true}</v>
      </c>
      <c r="G3" s="85" t="str">
        <f t="shared" ca="1" si="1"/>
        <v xml:space="preserve">    - "VP3_VMESS_WS_CF02"</v>
      </c>
      <c r="H3" s="84" t="str">
        <f t="shared" ca="1" si="2"/>
        <v xml:space="preserve">  - {"name":"VP3_TROJAN_GRPC_CF02","type":"trojan","server":"cf02.e7w.eu.org","port":443,"udp":true,"password":"e514eace-f7fc-4689-9547-91b810c9b906","sni":"vp3.yourdomain.com","skip-cert-verify":true,"network":"grpc","grpc-opts":{"grpc-service-name":"64ffwtrojangrpc"},"alpn":["h2"]}</v>
      </c>
      <c r="I3" s="85" t="str">
        <f t="shared" ca="1" si="3"/>
        <v xml:space="preserve">    - "VP3_TROJAN_GRPC_CF02"</v>
      </c>
      <c r="J3" s="84" t="str">
        <f t="shared" ca="1" si="4"/>
        <v xml:space="preserve">  - {name: VP3_VLESS_WS_CF02, server: cf02.e7w.eu.org, port: 443, type: vless, uuid: e514eace-f7fc-4689-9547-91b810c9b906, tls: true, skip-cert-verify: false, servername: vp3.yourdomain.com, network: ws, ws-opts: {path: /64ffwws, headers: {Host: vp3.yourdomain.com}}, udp: true}</v>
      </c>
      <c r="K3" s="85" t="str">
        <f t="shared" ca="1" si="5"/>
        <v xml:space="preserve">    - "VP3_VLESS_WS_CF02"</v>
      </c>
    </row>
    <row r="4" spans="1:11" s="86" customFormat="1" x14ac:dyDescent="0.25">
      <c r="A4" s="80">
        <v>3</v>
      </c>
      <c r="B4" s="81" t="str" cm="1">
        <f t="array" aca="1" ref="B4" ca="1">IF(ROW()-2&lt;$B$32,INDIRECT("建机专用!"&amp;"B"&amp;$B$28+1),"")</f>
        <v>e514eace-f7fc-4689-9547-91b810c9b906</v>
      </c>
      <c r="C4" s="82" t="str" cm="1">
        <f t="array" aca="1" ref="C4" ca="1">IF(ROW()-2&lt;$B$32,IF(B4&lt;&gt;"",INDIRECT("建机专用!"&amp;"C"&amp;$B$28+1),""),"")</f>
        <v>vp3.yourdomain.com</v>
      </c>
      <c r="D4" s="83" t="str">
        <f>IF(ROW()-2&lt;$B$32,IF(建机专用!D4&lt;&gt;"",建机专用!D4,""),"")</f>
        <v>64ffw</v>
      </c>
      <c r="E4" s="83" t="str">
        <f>IF(ROW()-2&lt;$B$32,IF(建机专用!E4&lt;&gt;"",建机专用!E4,""),"")</f>
        <v>cf02.e8w.eu.org</v>
      </c>
      <c r="F4" s="84" t="str">
        <f t="shared" ca="1" si="0"/>
        <v xml:space="preserve">  - {name: VP3_VMESS_WS_CF02, server: cf02.e8w.eu.org, port: 443, type: vmess, uuid: e514eace-f7fc-4689-9547-91b810c9b906, alterId: 0, cipher: auto, tls: true, skip-cert-verify: false, servername: vp3.yourdomain.com, network: ws, ws-opts: {path: /64ffwvws, headers: {Host: vp3.yourdomain.com}}, udp: true}</v>
      </c>
      <c r="G4" s="85" t="str">
        <f t="shared" ca="1" si="1"/>
        <v xml:space="preserve">    - "VP3_VMESS_WS_CF02"</v>
      </c>
      <c r="H4" s="84" t="str">
        <f t="shared" ca="1" si="2"/>
        <v xml:space="preserve">  - {"name":"VP3_TROJAN_GRPC_CF02","type":"trojan","server":"cf02.e8w.eu.org","port":443,"udp":true,"password":"e514eace-f7fc-4689-9547-91b810c9b906","sni":"vp3.yourdomain.com","skip-cert-verify":true,"network":"grpc","grpc-opts":{"grpc-service-name":"64ffwtrojangrpc"},"alpn":["h2"]}</v>
      </c>
      <c r="I4" s="85" t="str">
        <f t="shared" ca="1" si="3"/>
        <v xml:space="preserve">    - "VP3_TROJAN_GRPC_CF02"</v>
      </c>
      <c r="J4" s="84" t="str">
        <f t="shared" ca="1" si="4"/>
        <v xml:space="preserve">  - {name: VP3_VLESS_WS_CF02, server: cf02.e8w.eu.org, port: 443, type: vless, uuid: e514eace-f7fc-4689-9547-91b810c9b906, tls: true, skip-cert-verify: false, servername: vp3.yourdomain.com, network: ws, ws-opts: {path: /64ffwws, headers: {Host: vp3.yourdomain.com}}, udp: true}</v>
      </c>
      <c r="K4" s="85" t="str">
        <f t="shared" ca="1" si="5"/>
        <v xml:space="preserve">    - "VP3_VLESS_WS_CF02"</v>
      </c>
    </row>
    <row r="5" spans="1:11" s="86" customFormat="1" x14ac:dyDescent="0.25">
      <c r="A5" s="80">
        <v>4</v>
      </c>
      <c r="B5" s="81" t="str" cm="1">
        <f t="array" aca="1" ref="B5" ca="1">IF(ROW()-2&lt;$B$32,INDIRECT("建机专用!"&amp;"B"&amp;$B$28+1),"")</f>
        <v>e514eace-f7fc-4689-9547-91b810c9b906</v>
      </c>
      <c r="C5" s="82" t="str" cm="1">
        <f t="array" aca="1" ref="C5" ca="1">IF(ROW()-2&lt;$B$32,IF(B5&lt;&gt;"",INDIRECT("建机专用!"&amp;"C"&amp;$B$28+1),""),"")</f>
        <v>vp3.yourdomain.com</v>
      </c>
      <c r="D5" s="83" t="str">
        <f>IF(ROW()-2&lt;$B$32,IF(建机专用!D5&lt;&gt;"",建机专用!D5,""),"")</f>
        <v>64ffw</v>
      </c>
      <c r="E5" s="83" t="str">
        <f>IF(ROW()-2&lt;$B$32,IF(建机专用!E5&lt;&gt;"",建机专用!E5,""),"")</f>
        <v>cf02.e9w.eu.org</v>
      </c>
      <c r="F5" s="84" t="str">
        <f t="shared" ca="1" si="0"/>
        <v xml:space="preserve">  - {name: VP3_VMESS_WS_CF02, server: cf02.e9w.eu.org, port: 443, type: vmess, uuid: e514eace-f7fc-4689-9547-91b810c9b906, alterId: 0, cipher: auto, tls: true, skip-cert-verify: false, servername: vp3.yourdomain.com, network: ws, ws-opts: {path: /64ffwvws, headers: {Host: vp3.yourdomain.com}}, udp: true}</v>
      </c>
      <c r="G5" s="85" t="str">
        <f t="shared" ca="1" si="1"/>
        <v xml:space="preserve">    - "VP3_VMESS_WS_CF02"</v>
      </c>
      <c r="H5" s="84" t="str">
        <f t="shared" ca="1" si="2"/>
        <v xml:space="preserve">  - {"name":"VP3_TROJAN_GRPC_CF02","type":"trojan","server":"cf02.e9w.eu.org","port":443,"udp":true,"password":"e514eace-f7fc-4689-9547-91b810c9b906","sni":"vp3.yourdomain.com","skip-cert-verify":true,"network":"grpc","grpc-opts":{"grpc-service-name":"64ffwtrojangrpc"},"alpn":["h2"]}</v>
      </c>
      <c r="I5" s="85" t="str">
        <f t="shared" ca="1" si="3"/>
        <v xml:space="preserve">    - "VP3_TROJAN_GRPC_CF02"</v>
      </c>
      <c r="J5" s="84" t="str">
        <f t="shared" ca="1" si="4"/>
        <v xml:space="preserve">  - {name: VP3_VLESS_WS_CF02, server: cf02.e9w.eu.org, port: 443, type: vless, uuid: e514eace-f7fc-4689-9547-91b810c9b906, tls: true, skip-cert-verify: false, servername: vp3.yourdomain.com, network: ws, ws-opts: {path: /64ffwws, headers: {Host: vp3.yourdomain.com}}, udp: true}</v>
      </c>
      <c r="K5" s="85" t="str">
        <f t="shared" ca="1" si="5"/>
        <v xml:space="preserve">    - "VP3_VLESS_WS_CF02"</v>
      </c>
    </row>
    <row r="6" spans="1:11" s="86" customFormat="1" x14ac:dyDescent="0.25">
      <c r="A6" s="80">
        <v>5</v>
      </c>
      <c r="B6" s="81" t="str" cm="1">
        <f t="array" aca="1" ref="B6" ca="1">IF(ROW()-2&lt;$B$32,INDIRECT("建机专用!"&amp;"B"&amp;$B$28+1),"")</f>
        <v>e514eace-f7fc-4689-9547-91b810c9b906</v>
      </c>
      <c r="C6" s="82" t="str" cm="1">
        <f t="array" aca="1" ref="C6" ca="1">IF(ROW()-2&lt;$B$32,IF(B6&lt;&gt;"",INDIRECT("建机专用!"&amp;"C"&amp;$B$28+1),""),"")</f>
        <v>vp3.yourdomain.com</v>
      </c>
      <c r="D6" s="83" t="str">
        <f>IF(ROW()-2&lt;$B$32,IF(建机专用!D6&lt;&gt;"",建机专用!D6,""),"")</f>
        <v>64ffw</v>
      </c>
      <c r="E6" s="83" t="str">
        <f>IF(ROW()-2&lt;$B$32,IF(建机专用!E6&lt;&gt;"",建机专用!E6,""),"")</f>
        <v>cf02.e10w.eu.org</v>
      </c>
      <c r="F6" s="84" t="str">
        <f t="shared" ca="1" si="0"/>
        <v xml:space="preserve">  - {name: VP3_VMESS_WS_CF02, server: cf02.e10w.eu.org, port: 443, type: vmess, uuid: e514eace-f7fc-4689-9547-91b810c9b906, alterId: 0, cipher: auto, tls: true, skip-cert-verify: false, servername: vp3.yourdomain.com, network: ws, ws-opts: {path: /64ffwvws, headers: {Host: vp3.yourdomain.com}}, udp: true}</v>
      </c>
      <c r="G6" s="85" t="str">
        <f t="shared" ca="1" si="1"/>
        <v xml:space="preserve">    - "VP3_VMESS_WS_CF02"</v>
      </c>
      <c r="H6" s="84" t="str">
        <f t="shared" ca="1" si="2"/>
        <v xml:space="preserve">  - {"name":"VP3_TROJAN_GRPC_CF02","type":"trojan","server":"cf02.e10w.eu.org","port":443,"udp":true,"password":"e514eace-f7fc-4689-9547-91b810c9b906","sni":"vp3.yourdomain.com","skip-cert-verify":true,"network":"grpc","grpc-opts":{"grpc-service-name":"64ffwtrojangrpc"},"alpn":["h2"]}</v>
      </c>
      <c r="I6" s="85" t="str">
        <f t="shared" ca="1" si="3"/>
        <v xml:space="preserve">    - "VP3_TROJAN_GRPC_CF02"</v>
      </c>
      <c r="J6" s="84" t="str">
        <f t="shared" ca="1" si="4"/>
        <v xml:space="preserve">  - {name: VP3_VLESS_WS_CF02, server: cf02.e10w.eu.org, port: 443, type: vless, uuid: e514eace-f7fc-4689-9547-91b810c9b906, tls: true, skip-cert-verify: false, servername: vp3.yourdomain.com, network: ws, ws-opts: {path: /64ffwws, headers: {Host: vp3.yourdomain.com}}, udp: true}</v>
      </c>
      <c r="K6" s="85" t="str">
        <f t="shared" ca="1" si="5"/>
        <v xml:space="preserve">    - "VP3_VLESS_WS_CF02"</v>
      </c>
    </row>
    <row r="7" spans="1:11" s="86" customFormat="1" x14ac:dyDescent="0.25">
      <c r="A7" s="80">
        <v>6</v>
      </c>
      <c r="B7" s="81" t="str" cm="1">
        <f t="array" aca="1" ref="B7" ca="1">IF(ROW()-2&lt;$B$32,INDIRECT("建机专用!"&amp;"B"&amp;$B$28+1),"")</f>
        <v>e514eace-f7fc-4689-9547-91b810c9b906</v>
      </c>
      <c r="C7" s="82" t="str" cm="1">
        <f t="array" aca="1" ref="C7" ca="1">IF(ROW()-2&lt;$B$32,IF(B7&lt;&gt;"",INDIRECT("建机专用!"&amp;"C"&amp;$B$28+1),""),"")</f>
        <v>vp3.yourdomain.com</v>
      </c>
      <c r="D7" s="83" t="str">
        <f>IF(ROW()-2&lt;$B$32,IF(建机专用!D7&lt;&gt;"",建机专用!D7,""),"")</f>
        <v>64ffw</v>
      </c>
      <c r="E7" s="83" t="str">
        <f>IF(ROW()-2&lt;$B$32,IF(建机专用!E7&lt;&gt;"",建机专用!E7,""),"")</f>
        <v>cf02.e11w.eu.org</v>
      </c>
      <c r="F7" s="84" t="str">
        <f t="shared" ca="1" si="0"/>
        <v xml:space="preserve">  - {name: VP3_VMESS_WS_CF02, server: cf02.e11w.eu.org, port: 443, type: vmess, uuid: e514eace-f7fc-4689-9547-91b810c9b906, alterId: 0, cipher: auto, tls: true, skip-cert-verify: false, servername: vp3.yourdomain.com, network: ws, ws-opts: {path: /64ffwvws, headers: {Host: vp3.yourdomain.com}}, udp: true}</v>
      </c>
      <c r="G7" s="85" t="str">
        <f t="shared" ca="1" si="1"/>
        <v xml:space="preserve">    - "VP3_VMESS_WS_CF02"</v>
      </c>
      <c r="H7" s="84" t="str">
        <f t="shared" ca="1" si="2"/>
        <v xml:space="preserve">  - {"name":"VP3_TROJAN_GRPC_CF02","type":"trojan","server":"cf02.e11w.eu.org","port":443,"udp":true,"password":"e514eace-f7fc-4689-9547-91b810c9b906","sni":"vp3.yourdomain.com","skip-cert-verify":true,"network":"grpc","grpc-opts":{"grpc-service-name":"64ffwtrojangrpc"},"alpn":["h2"]}</v>
      </c>
      <c r="I7" s="85" t="str">
        <f t="shared" ca="1" si="3"/>
        <v xml:space="preserve">    - "VP3_TROJAN_GRPC_CF02"</v>
      </c>
      <c r="J7" s="84" t="str">
        <f t="shared" ca="1" si="4"/>
        <v xml:space="preserve">  - {name: VP3_VLESS_WS_CF02, server: cf02.e11w.eu.org, port: 443, type: vless, uuid: e514eace-f7fc-4689-9547-91b810c9b906, tls: true, skip-cert-verify: false, servername: vp3.yourdomain.com, network: ws, ws-opts: {path: /64ffwws, headers: {Host: vp3.yourdomain.com}}, udp: true}</v>
      </c>
      <c r="K7" s="85" t="str">
        <f t="shared" ca="1" si="5"/>
        <v xml:space="preserve">    - "VP3_VLESS_WS_CF02"</v>
      </c>
    </row>
    <row r="8" spans="1:11" s="86" customFormat="1" x14ac:dyDescent="0.25">
      <c r="A8" s="80">
        <v>7</v>
      </c>
      <c r="B8" s="81" t="str" cm="1">
        <f t="array" aca="1" ref="B8" ca="1">IF(ROW()-2&lt;$B$32,INDIRECT("建机专用!"&amp;"B"&amp;$B$28+1),"")</f>
        <v>e514eace-f7fc-4689-9547-91b810c9b906</v>
      </c>
      <c r="C8" s="82" t="str" cm="1">
        <f t="array" aca="1" ref="C8" ca="1">IF(ROW()-2&lt;$B$32,IF(B8&lt;&gt;"",INDIRECT("建机专用!"&amp;"C"&amp;$B$28+1),""),"")</f>
        <v>vp3.yourdomain.com</v>
      </c>
      <c r="D8" s="83" t="str">
        <f>IF(ROW()-2&lt;$B$32,IF(建机专用!D8&lt;&gt;"",建机专用!D8,""),"")</f>
        <v>64ffw</v>
      </c>
      <c r="E8" s="83" t="str">
        <f>IF(ROW()-2&lt;$B$32,IF(建机专用!E8&lt;&gt;"",建机专用!E8,""),"")</f>
        <v>cf02.e12w.eu.org</v>
      </c>
      <c r="F8" s="84" t="str">
        <f t="shared" ca="1" si="0"/>
        <v xml:space="preserve">  - {name: VP3_VMESS_WS_CF02, server: cf02.e12w.eu.org, port: 443, type: vmess, uuid: e514eace-f7fc-4689-9547-91b810c9b906, alterId: 0, cipher: auto, tls: true, skip-cert-verify: false, servername: vp3.yourdomain.com, network: ws, ws-opts: {path: /64ffwvws, headers: {Host: vp3.yourdomain.com}}, udp: true}</v>
      </c>
      <c r="G8" s="85" t="str">
        <f t="shared" ca="1" si="1"/>
        <v xml:space="preserve">    - "VP3_VMESS_WS_CF02"</v>
      </c>
      <c r="H8" s="84" t="str">
        <f t="shared" ca="1" si="2"/>
        <v xml:space="preserve">  - {"name":"VP3_TROJAN_GRPC_CF02","type":"trojan","server":"cf02.e12w.eu.org","port":443,"udp":true,"password":"e514eace-f7fc-4689-9547-91b810c9b906","sni":"vp3.yourdomain.com","skip-cert-verify":true,"network":"grpc","grpc-opts":{"grpc-service-name":"64ffwtrojangrpc"},"alpn":["h2"]}</v>
      </c>
      <c r="I8" s="85" t="str">
        <f t="shared" ca="1" si="3"/>
        <v xml:space="preserve">    - "VP3_TROJAN_GRPC_CF02"</v>
      </c>
      <c r="J8" s="84" t="str">
        <f t="shared" ca="1" si="4"/>
        <v xml:space="preserve">  - {name: VP3_VLESS_WS_CF02, server: cf02.e12w.eu.org, port: 443, type: vless, uuid: e514eace-f7fc-4689-9547-91b810c9b906, tls: true, skip-cert-verify: false, servername: vp3.yourdomain.com, network: ws, ws-opts: {path: /64ffwws, headers: {Host: vp3.yourdomain.com}}, udp: true}</v>
      </c>
      <c r="K8" s="85" t="str">
        <f t="shared" ca="1" si="5"/>
        <v xml:space="preserve">    - "VP3_VLESS_WS_CF02"</v>
      </c>
    </row>
    <row r="9" spans="1:11" s="86" customFormat="1" x14ac:dyDescent="0.25">
      <c r="A9" s="80">
        <v>8</v>
      </c>
      <c r="B9" s="81" t="str" cm="1">
        <f t="array" aca="1" ref="B9" ca="1">IF(ROW()-2&lt;$B$32,INDIRECT("建机专用!"&amp;"B"&amp;$B$28+1),"")</f>
        <v>e514eace-f7fc-4689-9547-91b810c9b906</v>
      </c>
      <c r="C9" s="82" t="str" cm="1">
        <f t="array" aca="1" ref="C9" ca="1">IF(ROW()-2&lt;$B$32,IF(B9&lt;&gt;"",INDIRECT("建机专用!"&amp;"C"&amp;$B$28+1),""),"")</f>
        <v>vp3.yourdomain.com</v>
      </c>
      <c r="D9" s="83" t="str">
        <f>IF(ROW()-2&lt;$B$32,IF(建机专用!D9&lt;&gt;"",建机专用!D9,""),"")</f>
        <v>64ffw</v>
      </c>
      <c r="E9" s="83" t="str">
        <f>IF(ROW()-2&lt;$B$32,IF(建机专用!E9&lt;&gt;"",建机专用!E9,""),"")</f>
        <v>cf02.e13w.eu.org</v>
      </c>
      <c r="F9" s="84" t="str">
        <f t="shared" ca="1" si="0"/>
        <v xml:space="preserve">  - {name: VP3_VMESS_WS_CF02, server: cf02.e13w.eu.org, port: 443, type: vmess, uuid: e514eace-f7fc-4689-9547-91b810c9b906, alterId: 0, cipher: auto, tls: true, skip-cert-verify: false, servername: vp3.yourdomain.com, network: ws, ws-opts: {path: /64ffwvws, headers: {Host: vp3.yourdomain.com}}, udp: true}</v>
      </c>
      <c r="G9" s="85" t="str">
        <f t="shared" ca="1" si="1"/>
        <v xml:space="preserve">    - "VP3_VMESS_WS_CF02"</v>
      </c>
      <c r="H9" s="84" t="str">
        <f t="shared" ca="1" si="2"/>
        <v xml:space="preserve">  - {"name":"VP3_TROJAN_GRPC_CF02","type":"trojan","server":"cf02.e13w.eu.org","port":443,"udp":true,"password":"e514eace-f7fc-4689-9547-91b810c9b906","sni":"vp3.yourdomain.com","skip-cert-verify":true,"network":"grpc","grpc-opts":{"grpc-service-name":"64ffwtrojangrpc"},"alpn":["h2"]}</v>
      </c>
      <c r="I9" s="85" t="str">
        <f t="shared" ca="1" si="3"/>
        <v xml:space="preserve">    - "VP3_TROJAN_GRPC_CF02"</v>
      </c>
      <c r="J9" s="84" t="str">
        <f t="shared" ca="1" si="4"/>
        <v xml:space="preserve">  - {name: VP3_VLESS_WS_CF02, server: cf02.e13w.eu.org, port: 443, type: vless, uuid: e514eace-f7fc-4689-9547-91b810c9b906, tls: true, skip-cert-verify: false, servername: vp3.yourdomain.com, network: ws, ws-opts: {path: /64ffwws, headers: {Host: vp3.yourdomain.com}}, udp: true}</v>
      </c>
      <c r="K9" s="85" t="str">
        <f t="shared" ca="1" si="5"/>
        <v xml:space="preserve">    - "VP3_VLESS_WS_CF02"</v>
      </c>
    </row>
    <row r="10" spans="1:11" s="86" customFormat="1" x14ac:dyDescent="0.25">
      <c r="A10" s="80">
        <v>9</v>
      </c>
      <c r="B10" s="81" t="str" cm="1">
        <f t="array" aca="1" ref="B10" ca="1">IF(ROW()-2&lt;$B$32,INDIRECT("建机专用!"&amp;"B"&amp;$B$28+1),"")</f>
        <v>e514eace-f7fc-4689-9547-91b810c9b906</v>
      </c>
      <c r="C10" s="82" t="str" cm="1">
        <f t="array" aca="1" ref="C10" ca="1">IF(ROW()-2&lt;$B$32,IF(B10&lt;&gt;"",INDIRECT("建机专用!"&amp;"C"&amp;$B$28+1),""),"")</f>
        <v>vp3.yourdomain.com</v>
      </c>
      <c r="D10" s="83" t="str">
        <f>IF(ROW()-2&lt;$B$32,IF(建机专用!D10&lt;&gt;"",建机专用!D10,""),"")</f>
        <v>64ffw</v>
      </c>
      <c r="E10" s="83" t="str">
        <f>IF(ROW()-2&lt;$B$32,IF(建机专用!E10&lt;&gt;"",建机专用!E10,""),"")</f>
        <v>cf02.e14w.eu.org</v>
      </c>
      <c r="F10" s="84" t="str">
        <f t="shared" ca="1" si="0"/>
        <v xml:space="preserve">  - {name: VP3_VMESS_WS_CF02, server: cf02.e14w.eu.org, port: 443, type: vmess, uuid: e514eace-f7fc-4689-9547-91b810c9b906, alterId: 0, cipher: auto, tls: true, skip-cert-verify: false, servername: vp3.yourdomain.com, network: ws, ws-opts: {path: /64ffwvws, headers: {Host: vp3.yourdomain.com}}, udp: true}</v>
      </c>
      <c r="G10" s="85" t="str">
        <f t="shared" ca="1" si="1"/>
        <v xml:space="preserve">    - "VP3_VMESS_WS_CF02"</v>
      </c>
      <c r="H10" s="84" t="str">
        <f t="shared" ca="1" si="2"/>
        <v xml:space="preserve">  - {"name":"VP3_TROJAN_GRPC_CF02","type":"trojan","server":"cf02.e14w.eu.org","port":443,"udp":true,"password":"e514eace-f7fc-4689-9547-91b810c9b906","sni":"vp3.yourdomain.com","skip-cert-verify":true,"network":"grpc","grpc-opts":{"grpc-service-name":"64ffwtrojangrpc"},"alpn":["h2"]}</v>
      </c>
      <c r="I10" s="85" t="str">
        <f t="shared" ca="1" si="3"/>
        <v xml:space="preserve">    - "VP3_TROJAN_GRPC_CF02"</v>
      </c>
      <c r="J10" s="84" t="str">
        <f t="shared" ca="1" si="4"/>
        <v xml:space="preserve">  - {name: VP3_VLESS_WS_CF02, server: cf02.e14w.eu.org, port: 443, type: vless, uuid: e514eace-f7fc-4689-9547-91b810c9b906, tls: true, skip-cert-verify: false, servername: vp3.yourdomain.com, network: ws, ws-opts: {path: /64ffwws, headers: {Host: vp3.yourdomain.com}}, udp: true}</v>
      </c>
      <c r="K10" s="85" t="str">
        <f t="shared" ca="1" si="5"/>
        <v xml:space="preserve">    - "VP3_VLESS_WS_CF02"</v>
      </c>
    </row>
    <row r="11" spans="1:11" s="86" customFormat="1" x14ac:dyDescent="0.25">
      <c r="A11" s="80">
        <v>10</v>
      </c>
      <c r="B11" s="81" t="str" cm="1">
        <f t="array" aca="1" ref="B11" ca="1">IF(ROW()-2&lt;$B$32,INDIRECT("建机专用!"&amp;"B"&amp;$B$28+1),"")</f>
        <v>e514eace-f7fc-4689-9547-91b810c9b906</v>
      </c>
      <c r="C11" s="82" t="str" cm="1">
        <f t="array" aca="1" ref="C11" ca="1">IF(ROW()-2&lt;$B$32,IF(B11&lt;&gt;"",INDIRECT("建机专用!"&amp;"C"&amp;$B$28+1),""),"")</f>
        <v>vp3.yourdomain.com</v>
      </c>
      <c r="D11" s="83" t="str">
        <f>IF(ROW()-2&lt;$B$32,IF(建机专用!D11&lt;&gt;"",建机专用!D11,""),"")</f>
        <v>64ffw</v>
      </c>
      <c r="E11" s="83" t="str">
        <f>IF(ROW()-2&lt;$B$32,IF(建机专用!E11&lt;&gt;"",建机专用!E11,""),"")</f>
        <v>cf02.e15w.eu.org</v>
      </c>
      <c r="F11" s="84" t="str">
        <f t="shared" ca="1" si="0"/>
        <v xml:space="preserve">  - {name: VP3_VMESS_WS_CF02, server: cf02.e15w.eu.org, port: 443, type: vmess, uuid: e514eace-f7fc-4689-9547-91b810c9b906, alterId: 0, cipher: auto, tls: true, skip-cert-verify: false, servername: vp3.yourdomain.com, network: ws, ws-opts: {path: /64ffwvws, headers: {Host: vp3.yourdomain.com}}, udp: true}</v>
      </c>
      <c r="G11" s="85" t="str">
        <f t="shared" ca="1" si="1"/>
        <v xml:space="preserve">    - "VP3_VMESS_WS_CF02"</v>
      </c>
      <c r="H11" s="84" t="str">
        <f t="shared" ca="1" si="2"/>
        <v xml:space="preserve">  - {"name":"VP3_TROJAN_GRPC_CF02","type":"trojan","server":"cf02.e15w.eu.org","port":443,"udp":true,"password":"e514eace-f7fc-4689-9547-91b810c9b906","sni":"vp3.yourdomain.com","skip-cert-verify":true,"network":"grpc","grpc-opts":{"grpc-service-name":"64ffwtrojangrpc"},"alpn":["h2"]}</v>
      </c>
      <c r="I11" s="85" t="str">
        <f t="shared" ca="1" si="3"/>
        <v xml:space="preserve">    - "VP3_TROJAN_GRPC_CF02"</v>
      </c>
      <c r="J11" s="84" t="str">
        <f t="shared" ca="1" si="4"/>
        <v xml:space="preserve">  - {name: VP3_VLESS_WS_CF02, server: cf02.e15w.eu.org, port: 443, type: vless, uuid: e514eace-f7fc-4689-9547-91b810c9b906, tls: true, skip-cert-verify: false, servername: vp3.yourdomain.com, network: ws, ws-opts: {path: /64ffwws, headers: {Host: vp3.yourdomain.com}}, udp: true}</v>
      </c>
      <c r="K11" s="85" t="str">
        <f t="shared" ca="1" si="5"/>
        <v xml:space="preserve">    - "VP3_VLESS_WS_CF02"</v>
      </c>
    </row>
    <row r="12" spans="1:11" s="86" customFormat="1" x14ac:dyDescent="0.25">
      <c r="A12" s="80">
        <v>11</v>
      </c>
      <c r="B12" s="81" t="str" cm="1">
        <f t="array" aca="1" ref="B12" ca="1">IF(ROW()-2&lt;$B$32,INDIRECT("建机专用!"&amp;"B"&amp;$B$28+1),"")</f>
        <v>e514eace-f7fc-4689-9547-91b810c9b906</v>
      </c>
      <c r="C12" s="82" t="str" cm="1">
        <f t="array" aca="1" ref="C12" ca="1">IF(ROW()-2&lt;$B$32,IF(B12&lt;&gt;"",INDIRECT("建机专用!"&amp;"C"&amp;$B$28+1),""),"")</f>
        <v>vp3.yourdomain.com</v>
      </c>
      <c r="D12" s="83" t="str">
        <f>IF(ROW()-2&lt;$B$32,IF(建机专用!D12&lt;&gt;"",建机专用!D12,""),"")</f>
        <v>64ffw</v>
      </c>
      <c r="E12" s="83" t="str">
        <f>IF(ROW()-2&lt;$B$32,IF(建机专用!E12&lt;&gt;"",建机专用!E12,""),"")</f>
        <v>cf02.e16w.eu.org</v>
      </c>
      <c r="F12" s="84" t="str">
        <f t="shared" ca="1" si="0"/>
        <v xml:space="preserve">  - {name: VP3_VMESS_WS_CF02, server: cf02.e16w.eu.org, port: 443, type: vmess, uuid: e514eace-f7fc-4689-9547-91b810c9b906, alterId: 0, cipher: auto, tls: true, skip-cert-verify: false, servername: vp3.yourdomain.com, network: ws, ws-opts: {path: /64ffwvws, headers: {Host: vp3.yourdomain.com}}, udp: true}</v>
      </c>
      <c r="G12" s="85" t="str">
        <f t="shared" ca="1" si="1"/>
        <v xml:space="preserve">    - "VP3_VMESS_WS_CF02"</v>
      </c>
      <c r="H12" s="84" t="str">
        <f t="shared" ca="1" si="2"/>
        <v xml:space="preserve">  - {"name":"VP3_TROJAN_GRPC_CF02","type":"trojan","server":"cf02.e16w.eu.org","port":443,"udp":true,"password":"e514eace-f7fc-4689-9547-91b810c9b906","sni":"vp3.yourdomain.com","skip-cert-verify":true,"network":"grpc","grpc-opts":{"grpc-service-name":"64ffwtrojangrpc"},"alpn":["h2"]}</v>
      </c>
      <c r="I12" s="85" t="str">
        <f t="shared" ca="1" si="3"/>
        <v xml:space="preserve">    - "VP3_TROJAN_GRPC_CF02"</v>
      </c>
      <c r="J12" s="84" t="str">
        <f t="shared" ca="1" si="4"/>
        <v xml:space="preserve">  - {name: VP3_VLESS_WS_CF02, server: cf02.e16w.eu.org, port: 443, type: vless, uuid: e514eace-f7fc-4689-9547-91b810c9b906, tls: true, skip-cert-verify: false, servername: vp3.yourdomain.com, network: ws, ws-opts: {path: /64ffwws, headers: {Host: vp3.yourdomain.com}}, udp: true}</v>
      </c>
      <c r="K12" s="85" t="str">
        <f t="shared" ca="1" si="5"/>
        <v xml:space="preserve">    - "VP3_VLESS_WS_CF02"</v>
      </c>
    </row>
    <row r="13" spans="1:11" s="86" customFormat="1" x14ac:dyDescent="0.25">
      <c r="A13" s="80">
        <v>12</v>
      </c>
      <c r="B13" s="81" t="str" cm="1">
        <f t="array" aca="1" ref="B13" ca="1">IF(ROW()-2&lt;$B$32,INDIRECT("建机专用!"&amp;"B"&amp;$B$28+1),"")</f>
        <v>e514eace-f7fc-4689-9547-91b810c9b906</v>
      </c>
      <c r="C13" s="82" t="str" cm="1">
        <f t="array" aca="1" ref="C13" ca="1">IF(ROW()-2&lt;$B$32,IF(B13&lt;&gt;"",INDIRECT("建机专用!"&amp;"C"&amp;$B$28+1),""),"")</f>
        <v>vp3.yourdomain.com</v>
      </c>
      <c r="D13" s="83" t="str">
        <f>IF(ROW()-2&lt;$B$32,IF(建机专用!D13&lt;&gt;"",建机专用!D13,""),"")</f>
        <v>64ffw</v>
      </c>
      <c r="E13" s="83" t="str">
        <f>IF(ROW()-2&lt;$B$32,IF(建机专用!E13&lt;&gt;"",建机专用!E13,""),"")</f>
        <v>cf02.e17w.eu.org</v>
      </c>
      <c r="F13" s="84" t="str">
        <f t="shared" ca="1" si="0"/>
        <v xml:space="preserve">  - {name: VP3_VMESS_WS_CF02, server: cf02.e17w.eu.org, port: 443, type: vmess, uuid: e514eace-f7fc-4689-9547-91b810c9b906, alterId: 0, cipher: auto, tls: true, skip-cert-verify: false, servername: vp3.yourdomain.com, network: ws, ws-opts: {path: /64ffwvws, headers: {Host: vp3.yourdomain.com}}, udp: true}</v>
      </c>
      <c r="G13" s="85" t="str">
        <f t="shared" ca="1" si="1"/>
        <v xml:space="preserve">    - "VP3_VMESS_WS_CF02"</v>
      </c>
      <c r="H13" s="84" t="str">
        <f t="shared" ca="1" si="2"/>
        <v xml:space="preserve">  - {"name":"VP3_TROJAN_GRPC_CF02","type":"trojan","server":"cf02.e17w.eu.org","port":443,"udp":true,"password":"e514eace-f7fc-4689-9547-91b810c9b906","sni":"vp3.yourdomain.com","skip-cert-verify":true,"network":"grpc","grpc-opts":{"grpc-service-name":"64ffwtrojangrpc"},"alpn":["h2"]}</v>
      </c>
      <c r="I13" s="85" t="str">
        <f t="shared" ca="1" si="3"/>
        <v xml:space="preserve">    - "VP3_TROJAN_GRPC_CF02"</v>
      </c>
      <c r="J13" s="84" t="str">
        <f t="shared" ca="1" si="4"/>
        <v xml:space="preserve">  - {name: VP3_VLESS_WS_CF02, server: cf02.e17w.eu.org, port: 443, type: vless, uuid: e514eace-f7fc-4689-9547-91b810c9b906, tls: true, skip-cert-verify: false, servername: vp3.yourdomain.com, network: ws, ws-opts: {path: /64ffwws, headers: {Host: vp3.yourdomain.com}}, udp: true}</v>
      </c>
      <c r="K13" s="85" t="str">
        <f t="shared" ca="1" si="5"/>
        <v xml:space="preserve">    - "VP3_VLESS_WS_CF02"</v>
      </c>
    </row>
    <row r="14" spans="1:11" s="86" customFormat="1" x14ac:dyDescent="0.25">
      <c r="A14" s="80">
        <v>13</v>
      </c>
      <c r="B14" s="81" t="str" cm="1">
        <f t="array" aca="1" ref="B14" ca="1">IF(ROW()-2&lt;$B$32,INDIRECT("建机专用!"&amp;"B"&amp;$B$28+1),"")</f>
        <v>e514eace-f7fc-4689-9547-91b810c9b906</v>
      </c>
      <c r="C14" s="82" t="str" cm="1">
        <f t="array" aca="1" ref="C14" ca="1">IF(ROW()-2&lt;$B$32,IF(B14&lt;&gt;"",INDIRECT("建机专用!"&amp;"C"&amp;$B$28+1),""),"")</f>
        <v>vp3.yourdomain.com</v>
      </c>
      <c r="D14" s="83" t="str">
        <f>IF(ROW()-2&lt;$B$32,IF(建机专用!D14&lt;&gt;"",建机专用!D14,""),"")</f>
        <v>64ffw</v>
      </c>
      <c r="E14" s="83" t="str">
        <f>IF(ROW()-2&lt;$B$32,IF(建机专用!E14&lt;&gt;"",建机专用!E14,""),"")</f>
        <v>cf02.e18w.eu.org</v>
      </c>
      <c r="F14" s="84" t="str">
        <f t="shared" ca="1" si="0"/>
        <v xml:space="preserve">  - {name: VP3_VMESS_WS_CF02, server: cf02.e18w.eu.org, port: 443, type: vmess, uuid: e514eace-f7fc-4689-9547-91b810c9b906, alterId: 0, cipher: auto, tls: true, skip-cert-verify: false, servername: vp3.yourdomain.com, network: ws, ws-opts: {path: /64ffwvws, headers: {Host: vp3.yourdomain.com}}, udp: true}</v>
      </c>
      <c r="G14" s="85" t="str">
        <f t="shared" ca="1" si="1"/>
        <v xml:space="preserve">    - "VP3_VMESS_WS_CF02"</v>
      </c>
      <c r="H14" s="84" t="str">
        <f t="shared" ca="1" si="2"/>
        <v xml:space="preserve">  - {"name":"VP3_TROJAN_GRPC_CF02","type":"trojan","server":"cf02.e18w.eu.org","port":443,"udp":true,"password":"e514eace-f7fc-4689-9547-91b810c9b906","sni":"vp3.yourdomain.com","skip-cert-verify":true,"network":"grpc","grpc-opts":{"grpc-service-name":"64ffwtrojangrpc"},"alpn":["h2"]}</v>
      </c>
      <c r="I14" s="85" t="str">
        <f t="shared" ca="1" si="3"/>
        <v xml:space="preserve">    - "VP3_TROJAN_GRPC_CF02"</v>
      </c>
      <c r="J14" s="84" t="str">
        <f t="shared" ca="1" si="4"/>
        <v xml:space="preserve">  - {name: VP3_VLESS_WS_CF02, server: cf02.e18w.eu.org, port: 443, type: vless, uuid: e514eace-f7fc-4689-9547-91b810c9b906, tls: true, skip-cert-verify: false, servername: vp3.yourdomain.com, network: ws, ws-opts: {path: /64ffwws, headers: {Host: vp3.yourdomain.com}}, udp: true}</v>
      </c>
      <c r="K14" s="85" t="str">
        <f t="shared" ca="1" si="5"/>
        <v xml:space="preserve">    - "VP3_VLESS_WS_CF02"</v>
      </c>
    </row>
    <row r="15" spans="1:11" s="86" customFormat="1" x14ac:dyDescent="0.25">
      <c r="A15" s="80">
        <v>14</v>
      </c>
      <c r="B15" s="81" t="str" cm="1">
        <f t="array" aca="1" ref="B15" ca="1">IF(ROW()-2&lt;$B$32,INDIRECT("建机专用!"&amp;"B"&amp;$B$28+1),"")</f>
        <v>e514eace-f7fc-4689-9547-91b810c9b906</v>
      </c>
      <c r="C15" s="82" t="str" cm="1">
        <f t="array" aca="1" ref="C15" ca="1">IF(ROW()-2&lt;$B$32,IF(B15&lt;&gt;"",INDIRECT("建机专用!"&amp;"C"&amp;$B$28+1),""),"")</f>
        <v>vp3.yourdomain.com</v>
      </c>
      <c r="D15" s="83" t="str">
        <f>IF(ROW()-2&lt;$B$32,IF(建机专用!D15&lt;&gt;"",建机专用!D15,""),"")</f>
        <v>64ffw</v>
      </c>
      <c r="E15" s="83" t="str">
        <f>IF(ROW()-2&lt;$B$32,IF(建机专用!E15&lt;&gt;"",建机专用!E15,""),"")</f>
        <v>cf02.e19w.eu.org</v>
      </c>
      <c r="F15" s="84" t="str">
        <f t="shared" ca="1" si="0"/>
        <v xml:space="preserve">  - {name: VP3_VMESS_WS_CF02, server: cf02.e19w.eu.org, port: 443, type: vmess, uuid: e514eace-f7fc-4689-9547-91b810c9b906, alterId: 0, cipher: auto, tls: true, skip-cert-verify: false, servername: vp3.yourdomain.com, network: ws, ws-opts: {path: /64ffwvws, headers: {Host: vp3.yourdomain.com}}, udp: true}</v>
      </c>
      <c r="G15" s="85" t="str">
        <f t="shared" ca="1" si="1"/>
        <v xml:space="preserve">    - "VP3_VMESS_WS_CF02"</v>
      </c>
      <c r="H15" s="84" t="str">
        <f t="shared" ca="1" si="2"/>
        <v xml:space="preserve">  - {"name":"VP3_TROJAN_GRPC_CF02","type":"trojan","server":"cf02.e19w.eu.org","port":443,"udp":true,"password":"e514eace-f7fc-4689-9547-91b810c9b906","sni":"vp3.yourdomain.com","skip-cert-verify":true,"network":"grpc","grpc-opts":{"grpc-service-name":"64ffwtrojangrpc"},"alpn":["h2"]}</v>
      </c>
      <c r="I15" s="85" t="str">
        <f t="shared" ca="1" si="3"/>
        <v xml:space="preserve">    - "VP3_TROJAN_GRPC_CF02"</v>
      </c>
      <c r="J15" s="84" t="str">
        <f t="shared" ca="1" si="4"/>
        <v xml:space="preserve">  - {name: VP3_VLESS_WS_CF02, server: cf02.e19w.eu.org, port: 443, type: vless, uuid: e514eace-f7fc-4689-9547-91b810c9b906, tls: true, skip-cert-verify: false, servername: vp3.yourdomain.com, network: ws, ws-opts: {path: /64ffwws, headers: {Host: vp3.yourdomain.com}}, udp: true}</v>
      </c>
      <c r="K15" s="85" t="str">
        <f t="shared" ca="1" si="5"/>
        <v xml:space="preserve">    - "VP3_VLESS_WS_CF02"</v>
      </c>
    </row>
    <row r="16" spans="1:11" s="86" customFormat="1" x14ac:dyDescent="0.25">
      <c r="A16" s="80">
        <v>15</v>
      </c>
      <c r="B16" s="81" t="str" cm="1">
        <f t="array" aca="1" ref="B16" ca="1">IF(ROW()-2&lt;$B$32,INDIRECT("建机专用!"&amp;"B"&amp;$B$28+1),"")</f>
        <v>e514eace-f7fc-4689-9547-91b810c9b906</v>
      </c>
      <c r="C16" s="82" t="str" cm="1">
        <f t="array" aca="1" ref="C16" ca="1">IF(ROW()-2&lt;$B$32,IF(B16&lt;&gt;"",INDIRECT("建机专用!"&amp;"C"&amp;$B$28+1),""),"")</f>
        <v>vp3.yourdomain.com</v>
      </c>
      <c r="D16" s="83" t="str">
        <f>IF(ROW()-2&lt;$B$32,IF(建机专用!D16&lt;&gt;"",建机专用!D16,""),"")</f>
        <v>64ffw</v>
      </c>
      <c r="E16" s="83" t="str">
        <f>IF(ROW()-2&lt;$B$32,IF(建机专用!E16&lt;&gt;"",建机专用!E16,""),"")</f>
        <v>cf02.e20w.eu.org</v>
      </c>
      <c r="F16" s="84" t="str">
        <f t="shared" ca="1" si="0"/>
        <v xml:space="preserve">  - {name: VP3_VMESS_WS_CF02, server: cf02.e20w.eu.org, port: 443, type: vmess, uuid: e514eace-f7fc-4689-9547-91b810c9b906, alterId: 0, cipher: auto, tls: true, skip-cert-verify: false, servername: vp3.yourdomain.com, network: ws, ws-opts: {path: /64ffwvws, headers: {Host: vp3.yourdomain.com}}, udp: true}</v>
      </c>
      <c r="G16" s="85" t="str">
        <f t="shared" ca="1" si="1"/>
        <v xml:space="preserve">    - "VP3_VMESS_WS_CF02"</v>
      </c>
      <c r="H16" s="84" t="str">
        <f t="shared" ca="1" si="2"/>
        <v xml:space="preserve">  - {"name":"VP3_TROJAN_GRPC_CF02","type":"trojan","server":"cf02.e20w.eu.org","port":443,"udp":true,"password":"e514eace-f7fc-4689-9547-91b810c9b906","sni":"vp3.yourdomain.com","skip-cert-verify":true,"network":"grpc","grpc-opts":{"grpc-service-name":"64ffwtrojangrpc"},"alpn":["h2"]}</v>
      </c>
      <c r="I16" s="85" t="str">
        <f t="shared" ca="1" si="3"/>
        <v xml:space="preserve">    - "VP3_TROJAN_GRPC_CF02"</v>
      </c>
      <c r="J16" s="84" t="str">
        <f t="shared" ca="1" si="4"/>
        <v xml:space="preserve">  - {name: VP3_VLESS_WS_CF02, server: cf02.e20w.eu.org, port: 443, type: vless, uuid: e514eace-f7fc-4689-9547-91b810c9b906, tls: true, skip-cert-verify: false, servername: vp3.yourdomain.com, network: ws, ws-opts: {path: /64ffwws, headers: {Host: vp3.yourdomain.com}}, udp: true}</v>
      </c>
      <c r="K16" s="85" t="str">
        <f t="shared" ca="1" si="5"/>
        <v xml:space="preserve">    - "VP3_VLESS_WS_CF02"</v>
      </c>
    </row>
    <row r="17" spans="1:11" s="86" customFormat="1" x14ac:dyDescent="0.25">
      <c r="A17" s="80">
        <v>16</v>
      </c>
      <c r="B17" s="81" t="str" cm="1">
        <f t="array" aca="1" ref="B17" ca="1">IF(ROW()-2&lt;$B$32,INDIRECT("建机专用!"&amp;"B"&amp;$B$28+1),"")</f>
        <v>e514eace-f7fc-4689-9547-91b810c9b906</v>
      </c>
      <c r="C17" s="82" t="str" cm="1">
        <f t="array" aca="1" ref="C17" ca="1">IF(ROW()-2&lt;$B$32,IF(B17&lt;&gt;"",INDIRECT("建机专用!"&amp;"C"&amp;$B$28+1),""),"")</f>
        <v>vp3.yourdomain.com</v>
      </c>
      <c r="D17" s="83" t="str">
        <f>IF(ROW()-2&lt;$B$32,IF(建机专用!D17&lt;&gt;"",建机专用!D17,""),"")</f>
        <v>64ffw</v>
      </c>
      <c r="E17" s="83" t="str">
        <f>IF(ROW()-2&lt;$B$32,IF(建机专用!E17&lt;&gt;"",建机专用!E17,""),"")</f>
        <v>cf02.e21w.eu.org</v>
      </c>
      <c r="F17" s="84" t="str">
        <f t="shared" ca="1" si="0"/>
        <v xml:space="preserve">  - {name: VP3_VMESS_WS_CF02, server: cf02.e21w.eu.org, port: 443, type: vmess, uuid: e514eace-f7fc-4689-9547-91b810c9b906, alterId: 0, cipher: auto, tls: true, skip-cert-verify: false, servername: vp3.yourdomain.com, network: ws, ws-opts: {path: /64ffwvws, headers: {Host: vp3.yourdomain.com}}, udp: true}</v>
      </c>
      <c r="G17" s="85" t="str">
        <f t="shared" ca="1" si="1"/>
        <v xml:space="preserve">    - "VP3_VMESS_WS_CF02"</v>
      </c>
      <c r="H17" s="84" t="str">
        <f t="shared" ca="1" si="2"/>
        <v xml:space="preserve">  - {"name":"VP3_TROJAN_GRPC_CF02","type":"trojan","server":"cf02.e21w.eu.org","port":443,"udp":true,"password":"e514eace-f7fc-4689-9547-91b810c9b906","sni":"vp3.yourdomain.com","skip-cert-verify":true,"network":"grpc","grpc-opts":{"grpc-service-name":"64ffwtrojangrpc"},"alpn":["h2"]}</v>
      </c>
      <c r="I17" s="85" t="str">
        <f t="shared" ca="1" si="3"/>
        <v xml:space="preserve">    - "VP3_TROJAN_GRPC_CF02"</v>
      </c>
      <c r="J17" s="84" t="str">
        <f t="shared" ca="1" si="4"/>
        <v xml:space="preserve">  - {name: VP3_VLESS_WS_CF02, server: cf02.e21w.eu.org, port: 443, type: vless, uuid: e514eace-f7fc-4689-9547-91b810c9b906, tls: true, skip-cert-verify: false, servername: vp3.yourdomain.com, network: ws, ws-opts: {path: /64ffwws, headers: {Host: vp3.yourdomain.com}}, udp: true}</v>
      </c>
      <c r="K17" s="85" t="str">
        <f t="shared" ca="1" si="5"/>
        <v xml:space="preserve">    - "VP3_VLESS_WS_CF02"</v>
      </c>
    </row>
    <row r="18" spans="1:11" s="86" customFormat="1" x14ac:dyDescent="0.25">
      <c r="A18" s="80">
        <v>17</v>
      </c>
      <c r="B18" s="81" t="str" cm="1">
        <f t="array" aca="1" ref="B18" ca="1">IF(ROW()-2&lt;$B$32,INDIRECT("建机专用!"&amp;"B"&amp;$B$28+1),"")</f>
        <v>e514eace-f7fc-4689-9547-91b810c9b906</v>
      </c>
      <c r="C18" s="82" t="str" cm="1">
        <f t="array" aca="1" ref="C18" ca="1">IF(ROW()-2&lt;$B$32,IF(B18&lt;&gt;"",INDIRECT("建机专用!"&amp;"C"&amp;$B$28+1),""),"")</f>
        <v>vp3.yourdomain.com</v>
      </c>
      <c r="D18" s="83" t="str">
        <f>IF(ROW()-2&lt;$B$32,IF(建机专用!D18&lt;&gt;"",建机专用!D18,""),"")</f>
        <v>64ffw</v>
      </c>
      <c r="E18" s="83" t="str">
        <f>IF(ROW()-2&lt;$B$32,IF(建机专用!E18&lt;&gt;"",建机专用!E18,""),"")</f>
        <v>cf02.e22w.eu.org</v>
      </c>
      <c r="F18" s="84" t="str">
        <f t="shared" ca="1" si="0"/>
        <v xml:space="preserve">  - {name: VP3_VMESS_WS_CF02, server: cf02.e22w.eu.org, port: 443, type: vmess, uuid: e514eace-f7fc-4689-9547-91b810c9b906, alterId: 0, cipher: auto, tls: true, skip-cert-verify: false, servername: vp3.yourdomain.com, network: ws, ws-opts: {path: /64ffwvws, headers: {Host: vp3.yourdomain.com}}, udp: true}</v>
      </c>
      <c r="G18" s="85" t="str">
        <f t="shared" ca="1" si="1"/>
        <v xml:space="preserve">    - "VP3_VMESS_WS_CF02"</v>
      </c>
      <c r="H18" s="84" t="str">
        <f t="shared" ca="1" si="2"/>
        <v xml:space="preserve">  - {"name":"VP3_TROJAN_GRPC_CF02","type":"trojan","server":"cf02.e22w.eu.org","port":443,"udp":true,"password":"e514eace-f7fc-4689-9547-91b810c9b906","sni":"vp3.yourdomain.com","skip-cert-verify":true,"network":"grpc","grpc-opts":{"grpc-service-name":"64ffwtrojangrpc"},"alpn":["h2"]}</v>
      </c>
      <c r="I18" s="85" t="str">
        <f t="shared" ca="1" si="3"/>
        <v xml:space="preserve">    - "VP3_TROJAN_GRPC_CF02"</v>
      </c>
      <c r="J18" s="84" t="str">
        <f t="shared" ca="1" si="4"/>
        <v xml:space="preserve">  - {name: VP3_VLESS_WS_CF02, server: cf02.e22w.eu.org, port: 443, type: vless, uuid: e514eace-f7fc-4689-9547-91b810c9b906, tls: true, skip-cert-verify: false, servername: vp3.yourdomain.com, network: ws, ws-opts: {path: /64ffwws, headers: {Host: vp3.yourdomain.com}}, udp: true}</v>
      </c>
      <c r="K18" s="85" t="str">
        <f t="shared" ca="1" si="5"/>
        <v xml:space="preserve">    - "VP3_VLESS_WS_CF02"</v>
      </c>
    </row>
    <row r="19" spans="1:11" s="86" customFormat="1" x14ac:dyDescent="0.25">
      <c r="A19" s="80">
        <v>18</v>
      </c>
      <c r="B19" s="81" t="str" cm="1">
        <f t="array" aca="1" ref="B19" ca="1">IF(ROW()-2&lt;$B$32,INDIRECT("建机专用!"&amp;"B"&amp;$B$28+1),"")</f>
        <v>e514eace-f7fc-4689-9547-91b810c9b906</v>
      </c>
      <c r="C19" s="82" t="str" cm="1">
        <f t="array" aca="1" ref="C19" ca="1">IF(ROW()-2&lt;$B$32,IF(B19&lt;&gt;"",INDIRECT("建机专用!"&amp;"C"&amp;$B$28+1),""),"")</f>
        <v>vp3.yourdomain.com</v>
      </c>
      <c r="D19" s="83" t="str">
        <f>IF(ROW()-2&lt;$B$32,IF(建机专用!D19&lt;&gt;"",建机专用!D19,""),"")</f>
        <v>64ffw</v>
      </c>
      <c r="E19" s="83" t="str">
        <f>IF(ROW()-2&lt;$B$32,IF(建机专用!E19&lt;&gt;"",建机专用!E19,""),"")</f>
        <v>cf02.e23w.eu.org</v>
      </c>
      <c r="F19" s="84" t="str">
        <f t="shared" ca="1" si="0"/>
        <v xml:space="preserve">  - {name: VP3_VMESS_WS_CF02, server: cf02.e23w.eu.org, port: 443, type: vmess, uuid: e514eace-f7fc-4689-9547-91b810c9b906, alterId: 0, cipher: auto, tls: true, skip-cert-verify: false, servername: vp3.yourdomain.com, network: ws, ws-opts: {path: /64ffwvws, headers: {Host: vp3.yourdomain.com}}, udp: true}</v>
      </c>
      <c r="G19" s="85" t="str">
        <f t="shared" ca="1" si="1"/>
        <v xml:space="preserve">    - "VP3_VMESS_WS_CF02"</v>
      </c>
      <c r="H19" s="84" t="str">
        <f t="shared" ca="1" si="2"/>
        <v xml:space="preserve">  - {"name":"VP3_TROJAN_GRPC_CF02","type":"trojan","server":"cf02.e23w.eu.org","port":443,"udp":true,"password":"e514eace-f7fc-4689-9547-91b810c9b906","sni":"vp3.yourdomain.com","skip-cert-verify":true,"network":"grpc","grpc-opts":{"grpc-service-name":"64ffwtrojangrpc"},"alpn":["h2"]}</v>
      </c>
      <c r="I19" s="85" t="str">
        <f t="shared" ca="1" si="3"/>
        <v xml:space="preserve">    - "VP3_TROJAN_GRPC_CF02"</v>
      </c>
      <c r="J19" s="84" t="str">
        <f t="shared" ca="1" si="4"/>
        <v xml:space="preserve">  - {name: VP3_VLESS_WS_CF02, server: cf02.e23w.eu.org, port: 443, type: vless, uuid: e514eace-f7fc-4689-9547-91b810c9b906, tls: true, skip-cert-verify: false, servername: vp3.yourdomain.com, network: ws, ws-opts: {path: /64ffwws, headers: {Host: vp3.yourdomain.com}}, udp: true}</v>
      </c>
      <c r="K19" s="85" t="str">
        <f t="shared" ca="1" si="5"/>
        <v xml:space="preserve">    - "VP3_VLESS_WS_CF02"</v>
      </c>
    </row>
    <row r="20" spans="1:11" s="86" customFormat="1" x14ac:dyDescent="0.25">
      <c r="A20" s="80">
        <v>19</v>
      </c>
      <c r="B20" s="81" t="str" cm="1">
        <f t="array" aca="1" ref="B20" ca="1">IF(ROW()-2&lt;$B$32,INDIRECT("建机专用!"&amp;"B"&amp;$B$28+1),"")</f>
        <v>e514eace-f7fc-4689-9547-91b810c9b906</v>
      </c>
      <c r="C20" s="82" t="str" cm="1">
        <f t="array" aca="1" ref="C20" ca="1">IF(ROW()-2&lt;$B$32,IF(B20&lt;&gt;"",INDIRECT("建机专用!"&amp;"C"&amp;$B$28+1),""),"")</f>
        <v>vp3.yourdomain.com</v>
      </c>
      <c r="D20" s="83" t="str">
        <f>IF(ROW()-2&lt;$B$32,IF(建机专用!D20&lt;&gt;"",建机专用!D20,""),"")</f>
        <v>64ffw</v>
      </c>
      <c r="E20" s="83" t="str">
        <f>IF(ROW()-2&lt;$B$32,IF(建机专用!E20&lt;&gt;"",建机专用!E20,""),"")</f>
        <v>cf02.e24w.eu.org</v>
      </c>
      <c r="F20" s="84" t="str">
        <f t="shared" ca="1" si="0"/>
        <v xml:space="preserve">  - {name: VP3_VMESS_WS_CF02, server: cf02.e24w.eu.org, port: 443, type: vmess, uuid: e514eace-f7fc-4689-9547-91b810c9b906, alterId: 0, cipher: auto, tls: true, skip-cert-verify: false, servername: vp3.yourdomain.com, network: ws, ws-opts: {path: /64ffwvws, headers: {Host: vp3.yourdomain.com}}, udp: true}</v>
      </c>
      <c r="G20" s="85" t="str">
        <f t="shared" ca="1" si="1"/>
        <v xml:space="preserve">    - "VP3_VMESS_WS_CF02"</v>
      </c>
      <c r="H20" s="84" t="str">
        <f t="shared" ca="1" si="2"/>
        <v xml:space="preserve">  - {"name":"VP3_TROJAN_GRPC_CF02","type":"trojan","server":"cf02.e24w.eu.org","port":443,"udp":true,"password":"e514eace-f7fc-4689-9547-91b810c9b906","sni":"vp3.yourdomain.com","skip-cert-verify":true,"network":"grpc","grpc-opts":{"grpc-service-name":"64ffwtrojangrpc"},"alpn":["h2"]}</v>
      </c>
      <c r="I20" s="85" t="str">
        <f t="shared" ca="1" si="3"/>
        <v xml:space="preserve">    - "VP3_TROJAN_GRPC_CF02"</v>
      </c>
      <c r="J20" s="84" t="str">
        <f t="shared" ca="1" si="4"/>
        <v xml:space="preserve">  - {name: VP3_VLESS_WS_CF02, server: cf02.e24w.eu.org, port: 443, type: vless, uuid: e514eace-f7fc-4689-9547-91b810c9b906, tls: true, skip-cert-verify: false, servername: vp3.yourdomain.com, network: ws, ws-opts: {path: /64ffwws, headers: {Host: vp3.yourdomain.com}}, udp: true}</v>
      </c>
      <c r="K20" s="85" t="str">
        <f t="shared" ca="1" si="5"/>
        <v xml:space="preserve">    - "VP3_VLESS_WS_CF02"</v>
      </c>
    </row>
    <row r="21" spans="1:11" s="86" customFormat="1" x14ac:dyDescent="0.25">
      <c r="A21" s="80">
        <v>20</v>
      </c>
      <c r="B21" s="81" t="str" cm="1">
        <f t="array" aca="1" ref="B21" ca="1">IF(ROW()-2&lt;$B$32,INDIRECT("建机专用!"&amp;"B"&amp;$B$28+1),"")</f>
        <v>e514eace-f7fc-4689-9547-91b810c9b906</v>
      </c>
      <c r="C21" s="82" t="str" cm="1">
        <f t="array" aca="1" ref="C21" ca="1">IF(ROW()-2&lt;$B$32,IF(B21&lt;&gt;"",INDIRECT("建机专用!"&amp;"C"&amp;$B$28+1),""),"")</f>
        <v>vp3.yourdomain.com</v>
      </c>
      <c r="D21" s="83" t="str">
        <f>IF(ROW()-2&lt;$B$32,IF(建机专用!D21&lt;&gt;"",建机专用!D21,""),"")</f>
        <v>64ffw</v>
      </c>
      <c r="E21" s="83" t="str">
        <f>IF(ROW()-2&lt;$B$32,IF(建机专用!E21&lt;&gt;"",建机专用!E21,""),"")</f>
        <v>cf02.e25w.eu.org</v>
      </c>
      <c r="F21" s="84" t="str">
        <f t="shared" ca="1" si="0"/>
        <v xml:space="preserve">  - {name: VP3_VMESS_WS_CF02, server: cf02.e25w.eu.org, port: 443, type: vmess, uuid: e514eace-f7fc-4689-9547-91b810c9b906, alterId: 0, cipher: auto, tls: true, skip-cert-verify: false, servername: vp3.yourdomain.com, network: ws, ws-opts: {path: /64ffwvws, headers: {Host: vp3.yourdomain.com}}, udp: true}</v>
      </c>
      <c r="G21" s="85" t="str">
        <f t="shared" ca="1" si="1"/>
        <v xml:space="preserve">    - "VP3_VMESS_WS_CF02"</v>
      </c>
      <c r="H21" s="84" t="str">
        <f t="shared" ca="1" si="2"/>
        <v xml:space="preserve">  - {"name":"VP3_TROJAN_GRPC_CF02","type":"trojan","server":"cf02.e25w.eu.org","port":443,"udp":true,"password":"e514eace-f7fc-4689-9547-91b810c9b906","sni":"vp3.yourdomain.com","skip-cert-verify":true,"network":"grpc","grpc-opts":{"grpc-service-name":"64ffwtrojangrpc"},"alpn":["h2"]}</v>
      </c>
      <c r="I21" s="85" t="str">
        <f t="shared" ca="1" si="3"/>
        <v xml:space="preserve">    - "VP3_TROJAN_GRPC_CF02"</v>
      </c>
      <c r="J21" s="84" t="str">
        <f t="shared" ca="1" si="4"/>
        <v xml:space="preserve">  - {name: VP3_VLESS_WS_CF02, server: cf02.e25w.eu.org, port: 443, type: vless, uuid: e514eace-f7fc-4689-9547-91b810c9b906, tls: true, skip-cert-verify: false, servername: vp3.yourdomain.com, network: ws, ws-opts: {path: /64ffwws, headers: {Host: vp3.yourdomain.com}}, udp: true}</v>
      </c>
      <c r="K21" s="85" t="str">
        <f t="shared" ca="1" si="5"/>
        <v xml:space="preserve">    - "VP3_VLESS_WS_CF02"</v>
      </c>
    </row>
    <row r="22" spans="1:11" s="86" customFormat="1" ht="3" customHeight="1" x14ac:dyDescent="0.25">
      <c r="A22" s="87"/>
      <c r="B22" s="88"/>
      <c r="C22" s="89"/>
      <c r="D22" s="90"/>
      <c r="E22" s="90"/>
      <c r="F22" s="91"/>
      <c r="G22" s="92"/>
      <c r="H22" s="91"/>
      <c r="I22" s="93"/>
      <c r="J22" s="91"/>
      <c r="K22" s="94"/>
    </row>
    <row r="23" spans="1:11" s="86" customFormat="1" x14ac:dyDescent="0.25">
      <c r="A23" s="163" t="s">
        <v>462</v>
      </c>
      <c r="B23" s="163"/>
      <c r="C23" s="163"/>
      <c r="D23" s="163"/>
      <c r="E23" s="97" t="s">
        <v>461</v>
      </c>
      <c r="F23" s="95" t="s">
        <v>80</v>
      </c>
      <c r="G23" s="96" t="str">
        <f ca="1">"- { name: "&amp;$F$23&amp;", type: select, proxies: ["&amp;IF(B2&lt;&gt;"",UPPER(LEFT(C2,FIND(".",C2)-1)&amp;"_"&amp;$E$23&amp;"_"&amp;LEFT(E2,FIND(".",E2)-1)&amp;IF(ROW(B2)=$B$32+1,"",", ")),"")&amp;IF(B3&lt;&gt;"",UPPER(LEFT(C3,FIND(".",C3)-1)&amp;"_"&amp;$E$23&amp;"_"&amp;LEFT(E3,FIND(".",E3)-1)&amp;IF(ROW(B3)=$B$32+1,"",", ")),"")&amp;IF(B4&lt;&gt;"",UPPER(LEFT(C4,FIND(".",C4)-1)&amp;"_"&amp;$E$23&amp;"_"&amp;LEFT(E4,FIND(".",E4)-1)&amp;IF(ROW(B4)=$B$32+1,"",", ")),"")&amp;IF(B5&lt;&gt;"",UPPER(LEFT(C5,FIND(".",C5)-1)&amp;"_"&amp;$E$23&amp;"_"&amp;LEFT(E5,FIND(".",E5)-1)&amp;IF(ROW(B5)=$B$32+1,"",", ")),"")&amp;IF(B6&lt;&gt;"",UPPER(LEFT(C6,FIND(".",C6)-1)&amp;"_"&amp;$E$23&amp;"_"&amp;LEFT(E6,FIND(".",E6)-1)&amp;IF(ROW(B6)=$B$32+1,"",", ")),"")&amp;IF(B7&lt;&gt;"",UPPER(LEFT(C7,FIND(".",C7)-1)&amp;"_"&amp;$E$23&amp;"_"&amp;LEFT(E7,FIND(".",E7)-1)&amp;IF(ROW(B7)=$B$32+1,"",", ")),"")&amp;IF(B8&lt;&gt;"",UPPER(LEFT(C8,FIND(".",C8)-1)&amp;"_"&amp;$E$23&amp;"_"&amp;LEFT(E8,FIND(".",E8)-1)&amp;IF(ROW(B8)=$B$32+1,"",", ")),"")&amp;IF(B9&lt;&gt;"",UPPER(LEFT(C9,FIND(".",C9)-1)&amp;"_"&amp;$E$23&amp;"_"&amp;LEFT(E9,FIND(".",E9)-1)&amp;IF(ROW(B9)=$B$32+1,"",", ")),"")&amp;IF(B10&lt;&gt;"",UPPER(LEFT(C10,FIND(".",C10)-1)&amp;"_"&amp;$E$23&amp;"_"&amp;LEFT(E10,FIND(".",E10)-1)&amp;IF(ROW(B10)=$B$32+1,"",", ")),"")&amp;IF(B11&lt;&gt;"",UPPER(LEFT(C11,FIND(".",C11)-1)&amp;"_"&amp;$E$23&amp;"_"&amp;LEFT(E11,FIND(".",E11)-1)&amp;IF(ROW(B11)=$B$32+1,"",", ")),"")&amp;IF(B12&lt;&gt;"",UPPER(LEFT(C12,FIND(".",C12)-1)&amp;"_"&amp;$E$23&amp;"_"&amp;LEFT(E12,FIND(".",E12)-1)&amp;IF(ROW(B12)=$B$32+1,"",", ")),"")&amp;IF(B13&lt;&gt;"",UPPER(LEFT(C13,FIND(".",C13)-1)&amp;"_"&amp;$E$23&amp;"_"&amp;LEFT(E13,FIND(".",E13)-1)&amp;IF(ROW(B13)=$B$32+1,"",", ")),"")&amp;IF(B14&lt;&gt;"",UPPER(LEFT(C14,FIND(".",C14)-1)&amp;"_"&amp;$E$23&amp;"_"&amp;LEFT(E14,FIND(".",E14)-1)&amp;IF(ROW(B14)=$B$32+1,"",", ")),"")&amp;IF(B15&lt;&gt;"",UPPER(LEFT(C15,FIND(".",C15)-1)&amp;"_"&amp;$E$23&amp;"_"&amp;LEFT(E15,FIND(".",E15)-1)&amp;IF(ROW(B15)=$B$32+1,"",", ")),"")&amp;IF(B16&lt;&gt;"",UPPER(LEFT(C16,FIND(".",C16)-1)&amp;"_"&amp;$E$23&amp;"_"&amp;LEFT(E16,FIND(".",E16)-1)&amp;IF(ROW(B16)=$B$32+1,"",", ")),"")&amp;IF(B17&lt;&gt;"",UPPER(LEFT(C17,FIND(".",C17)-1)&amp;"_"&amp;$E$23&amp;"_"&amp;LEFT(E17,FIND(".",E17)-1)&amp;IF(ROW(B17)=$B$32+1,"",", ")),"")&amp;IF(B18&lt;&gt;"",UPPER(LEFT(C18,FIND(".",C18)-1)&amp;"_"&amp;$E$23&amp;"_"&amp;LEFT(E18,FIND(".",E18)-1)&amp;IF(ROW(B18)=$B$32+1,"",", ")),"")&amp;IF(B19&lt;&gt;"",UPPER(LEFT(C19,FIND(".",C19)-1)&amp;"_"&amp;$E$23&amp;"_"&amp;LEFT(E19,FIND(".",E19)-1)&amp;IF(ROW(B19)=$B$32+1,"",", ")),"")&amp;IF(B20&lt;&gt;"",UPPER(LEFT(C20,FIND(".",C20)-1)&amp;"_"&amp;$E$23&amp;"_"&amp;LEFT(E20,FIND(".",E20)-1)&amp;IF(ROW(B20)=$B$32+1,"",", ")),"")&amp;IF(B21&lt;&gt;"",UPPER(LEFT(C21,FIND(".",C21)-1)&amp;"_"&amp;$E$23&amp;"_"&amp;LEFT(E21,FIND(".",E21)-1)&amp;IF(ROW(B21)=$B$32+1,"",", ")),"")&amp;"] }"</f>
        <v>- { name: PROXY, type: select, proxies: [VP3_VMESS_WS_CF02, VP3_VMESS_WS_CF02, VP3_VMESS_WS_CF02, VP3_VMESS_WS_CF02, VP3_VMESS_WS_CF02, VP3_VMESS_WS_CF02, VP3_VMESS_WS_CF02, VP3_VMESS_WS_CF02, VP3_VMESS_WS_CF02, VP3_VMESS_WS_CF02, VP3_VMESS_WS_CF02, VP3_VMESS_WS_CF02, VP3_VMESS_WS_CF02, VP3_VMESS_WS_CF02, VP3_VMESS_WS_CF02, VP3_VMESS_WS_CF02, VP3_VMESS_WS_CF02, VP3_VMESS_WS_CF02, VP3_VMESS_WS_CF02, VP3_VMESS_WS_CF02, ] }</v>
      </c>
      <c r="H23" s="95" t="s">
        <v>81</v>
      </c>
      <c r="I23" s="96" t="str">
        <f ca="1">"- { name: "&amp;H23&amp;", type: url-test, proxies: ["&amp;IF(B2&lt;&gt;"",UPPER(LEFT(C2,FIND(".",C2)-1)&amp;"_"&amp;$E$23&amp;"_"&amp;LEFT(E2,FIND(".",E2)-1)&amp;IF(ROW(B2)=$B$32+1,"",", ")),"")&amp;IF(B3&lt;&gt;"",UPPER(LEFT(C3,FIND(".",C3)-1)&amp;"_"&amp;$E$23&amp;"_"&amp;LEFT(E3,FIND(".",E3)-1)&amp;IF(ROW(B3)=$B$32+1,"",", ")),"")&amp;IF(B4&lt;&gt;"",UPPER(LEFT(C4,FIND(".",C4)-1)&amp;"_"&amp;$E$23&amp;"_"&amp;LEFT(E4,FIND(".",E4)-1)&amp;IF(ROW(B4)=$B$32+1,"",", ")),"")&amp;IF(B5&lt;&gt;"",UPPER(LEFT(C5,FIND(".",C5)-1)&amp;"_"&amp;$E$23&amp;"_"&amp;LEFT(E5,FIND(".",E5)-1)&amp;IF(ROW(B5)=$B$32+1,"",", ")),"")&amp;IF(B6&lt;&gt;"",UPPER(LEFT(C6,FIND(".",C6)-1)&amp;"_"&amp;$E$23&amp;"_"&amp;LEFT(E6,FIND(".",E6)-1)&amp;IF(ROW(B6)=$B$32+1,"",", ")),"")&amp;IF(B7&lt;&gt;"",UPPER(LEFT(C7,FIND(".",C7)-1)&amp;"_"&amp;$E$23&amp;"_"&amp;LEFT(E7,FIND(".",E7)-1)&amp;IF(ROW(B7)=$B$32+1,"",", ")),"")&amp;IF(B8&lt;&gt;"",UPPER(LEFT(C8,FIND(".",C8)-1)&amp;"_"&amp;$E$23&amp;"_"&amp;LEFT(E8,FIND(".",E8)-1)&amp;IF(ROW(B8)=$B$32+1,"",", ")),"")&amp;IF(B9&lt;&gt;"",UPPER(LEFT(C9,FIND(".",C9)-1)&amp;"_"&amp;$E$23&amp;"_"&amp;LEFT(E9,FIND(".",E9)-1)&amp;IF(ROW(B9)=$B$32+1,"",", ")),"")&amp;IF(B10&lt;&gt;"",UPPER(LEFT(C10,FIND(".",C10)-1)&amp;"_"&amp;$E$23&amp;"_"&amp;LEFT(E10,FIND(".",E10)-1)&amp;IF(ROW(B10)=$B$32+1,"",", ")),"")&amp;IF(B11&lt;&gt;"",UPPER(LEFT(C11,FIND(".",C11)-1)&amp;"_"&amp;$E$23&amp;"_"&amp;LEFT(E11,FIND(".",E11)-1)&amp;IF(ROW(B11)=$B$32+1,"",", ")),"")&amp;IF(B12&lt;&gt;"",UPPER(LEFT(C12,FIND(".",C12)-1)&amp;"_"&amp;$E$23&amp;"_"&amp;LEFT(E12,FIND(".",E12)-1)&amp;IF(ROW(B12)=$B$32+1,"",", ")),"")&amp;IF(B13&lt;&gt;"",UPPER(LEFT(C13,FIND(".",C13)-1)&amp;"_"&amp;$E$23&amp;"_"&amp;LEFT(E13,FIND(".",E13)-1)&amp;IF(ROW(B13)=$B$32+1,"",", ")),"")&amp;IF(B14&lt;&gt;"",UPPER(LEFT(C14,FIND(".",C14)-1)&amp;"_"&amp;$E$23&amp;"_"&amp;LEFT(E14,FIND(".",E14)-1)&amp;IF(ROW(B14)=$B$32+1,"",", ")),"")&amp;IF(B15&lt;&gt;"",UPPER(LEFT(C15,FIND(".",C15)-1)&amp;"_"&amp;$E$23&amp;"_"&amp;LEFT(E15,FIND(".",E15)-1)&amp;IF(ROW(B15)=$B$32+1,"",", ")),"")&amp;IF(B16&lt;&gt;"",UPPER(LEFT(C16,FIND(".",C16)-1)&amp;"_"&amp;$E$23&amp;"_"&amp;LEFT(E16,FIND(".",E16)-1)&amp;IF(ROW(B16)=$B$32+1,"",", ")),"")&amp;IF(B17&lt;&gt;"",UPPER(LEFT(C17,FIND(".",C17)-1)&amp;"_"&amp;$E$23&amp;"_"&amp;LEFT(E17,FIND(".",E17)-1)&amp;IF(ROW(B17)=$B$32+1,"",", ")),"")&amp;IF(B18&lt;&gt;"",UPPER(LEFT(C18,FIND(".",C18)-1)&amp;"_"&amp;$E$23&amp;"_"&amp;LEFT(E18,FIND(".",E18)-1)&amp;IF(ROW(B18)=$B$32+1,"",", ")),"")&amp;IF(B19&lt;&gt;"",UPPER(LEFT(C19,FIND(".",C19)-1)&amp;"_"&amp;$E$23&amp;"_"&amp;LEFT(E19,FIND(".",E19)-1)&amp;IF(ROW(B19)=$B$32+1,"",", ")),"")&amp;IF(B20&lt;&gt;"",UPPER(LEFT(C20,FIND(".",C20)-1)&amp;"_"&amp;$E$23&amp;"_"&amp;LEFT(E20,FIND(".",E20)-1)&amp;IF(ROW(B20)=$B$32+1,"",", ")),"")&amp;IF(B21&lt;&gt;"",UPPER(LEFT(C21,FIND(".",C21)-1)&amp;"_"&amp;$E$23&amp;"_"&amp;LEFT(E21,FIND(".",E21)-1)&amp;IF(ROW(B21)=$B$32+1,"",", ")),"")&amp;"], url: 'http://www.gstatic.com/generate_204', interval: 86400 }"</f>
        <v>- { name: Auto Select, type: url-test, proxies: [VP3_VMESS_WS_CF02, VP3_VMESS_WS_CF02, VP3_VMESS_WS_CF02, VP3_VMESS_WS_CF02, VP3_VMESS_WS_CF02, VP3_VMESS_WS_CF02, VP3_VMESS_WS_CF02, VP3_VMESS_WS_CF02, VP3_VMESS_WS_CF02, VP3_VMESS_WS_CF02, VP3_VMESS_WS_CF02, VP3_VMESS_WS_CF02, VP3_VMESS_WS_CF02, VP3_VMESS_WS_CF02, VP3_VMESS_WS_CF02, VP3_VMESS_WS_CF02, VP3_VMESS_WS_CF02, VP3_VMESS_WS_CF02, VP3_VMESS_WS_CF02, VP3_VMESS_WS_CF02, ], url: 'http://www.gstatic.com/generate_204', interval: 86400 }</v>
      </c>
      <c r="J23" s="95" t="s">
        <v>82</v>
      </c>
      <c r="K23" s="96" t="str">
        <f ca="1">"- { name: "&amp;J23&amp;", type: fallback, proxies: ["&amp;IF(B2&lt;&gt;"",UPPER(LEFT(C2,FIND(".",C2)-1)&amp;"_"&amp;$E$23&amp;"_"&amp;LEFT(E2,FIND(".",E2)-1)&amp;IF(ROW(B2)=$B$32+1,"",", ")),"")&amp;IF(B3&lt;&gt;"",UPPER(LEFT(C3,FIND(".",C3)-1)&amp;"_"&amp;$E$23&amp;"_"&amp;LEFT(E3,FIND(".",E3)-1)&amp;IF(ROW(B3)=$B$32+1,"",", ")),"")&amp;IF(B4&lt;&gt;"",UPPER(LEFT(C4,FIND(".",C4)-1)&amp;"_"&amp;$E$23&amp;"_"&amp;LEFT(E4,FIND(".",E4)-1)&amp;IF(ROW(B4)=$B$32+1,"",", ")),"")&amp;IF(B5&lt;&gt;"",UPPER(LEFT(C5,FIND(".",C5)-1)&amp;"_"&amp;$E$23&amp;"_"&amp;LEFT(E5,FIND(".",E5)-1)&amp;IF(ROW(B5)=$B$32+1,"",", ")),"")&amp;IF(B6&lt;&gt;"",UPPER(LEFT(C6,FIND(".",C6)-1)&amp;"_"&amp;$E$23&amp;"_"&amp;LEFT(E6,FIND(".",E6)-1)&amp;IF(ROW(B6)=$B$32+1,"",", ")),"")&amp;IF(B7&lt;&gt;"",UPPER(LEFT(C7,FIND(".",C7)-1)&amp;"_"&amp;$E$23&amp;"_"&amp;LEFT(E7,FIND(".",E7)-1)&amp;IF(ROW(B7)=$B$32+1,"",", ")),"")&amp;IF(B8&lt;&gt;"",UPPER(LEFT(C8,FIND(".",C8)-1)&amp;"_"&amp;$E$23&amp;"_"&amp;LEFT(E8,FIND(".",E8)-1)&amp;IF(ROW(B8)=$B$32+1,"",", ")),"")&amp;IF(B9&lt;&gt;"",UPPER(LEFT(C9,FIND(".",C9)-1)&amp;"_"&amp;$E$23&amp;"_"&amp;LEFT(E9,FIND(".",E9)-1)&amp;IF(ROW(B9)=$B$32+1,"",", ")),"")&amp;IF(B10&lt;&gt;"",UPPER(LEFT(C10,FIND(".",C10)-1)&amp;"_"&amp;$E$23&amp;"_"&amp;LEFT(E10,FIND(".",E10)-1)&amp;IF(ROW(B10)=$B$32+1,"",", ")),"")&amp;IF(B11&lt;&gt;"",UPPER(LEFT(C11,FIND(".",C11)-1)&amp;"_"&amp;$E$23&amp;"_"&amp;LEFT(E11,FIND(".",E11)-1)&amp;IF(ROW(B11)=$B$32+1,"",", ")),"")&amp;IF(B12&lt;&gt;"",UPPER(LEFT(C12,FIND(".",C12)-1)&amp;"_"&amp;$E$23&amp;"_"&amp;LEFT(E12,FIND(".",E12)-1)&amp;IF(ROW(B12)=$B$32+1,"",", ")),"")&amp;IF(B13&lt;&gt;"",UPPER(LEFT(C13,FIND(".",C13)-1)&amp;"_"&amp;$E$23&amp;"_"&amp;LEFT(E13,FIND(".",E13)-1)&amp;IF(ROW(B13)=$B$32+1,"",", ")),"")&amp;IF(B14&lt;&gt;"",UPPER(LEFT(C14,FIND(".",C14)-1)&amp;"_"&amp;$E$23&amp;"_"&amp;LEFT(E14,FIND(".",E14)-1)&amp;IF(ROW(B14)=$B$32+1,"",", ")),"")&amp;IF(B15&lt;&gt;"",UPPER(LEFT(C15,FIND(".",C15)-1)&amp;"_"&amp;$E$23&amp;"_"&amp;LEFT(E15,FIND(".",E15)-1)&amp;IF(ROW(B15)=$B$32+1,"",", ")),"")&amp;IF(B16&lt;&gt;"",UPPER(LEFT(C16,FIND(".",C16)-1)&amp;"_"&amp;$E$23&amp;"_"&amp;LEFT(E16,FIND(".",E16)-1)&amp;IF(ROW(B16)=$B$32+1,"",", ")),"")&amp;IF(B17&lt;&gt;"",UPPER(LEFT(C17,FIND(".",C17)-1)&amp;"_"&amp;$E$23&amp;"_"&amp;LEFT(E17,FIND(".",E17)-1)&amp;IF(ROW(B17)=$B$32+1,"",", ")),"")&amp;IF(B18&lt;&gt;"",UPPER(LEFT(C18,FIND(".",C18)-1)&amp;"_"&amp;$E$23&amp;"_"&amp;LEFT(E18,FIND(".",E18)-1)&amp;IF(ROW(B18)=$B$32+1,"",", ")),"")&amp;IF(B19&lt;&gt;"",UPPER(LEFT(C19,FIND(".",C19)-1)&amp;"_"&amp;$E$23&amp;"_"&amp;LEFT(E19,FIND(".",E19)-1)&amp;IF(ROW(B19)=$B$32+1,"",", ")),"")&amp;IF(B20&lt;&gt;"",UPPER(LEFT(C20,FIND(".",C20)-1)&amp;"_"&amp;$E$23&amp;"_"&amp;LEFT(E20,FIND(".",E20)-1)&amp;IF(ROW(B20)=$B$32+1,"",", ")),"")&amp;IF(B21&lt;&gt;"",UPPER(LEFT(C21,FIND(".",C21)-1)&amp;"_"&amp;$E$23&amp;"_"&amp;LEFT(E21,FIND(".",E21)-1)&amp;IF(ROW(B21)=$B$32+1,"",", ")),"")&amp;"], url: 'http://www.gstatic.com/generate_204', interval: 7200 }"</f>
        <v>- { name: Load Balance, type: fallback, proxies: [VP3_VMESS_WS_CF02, VP3_VMESS_WS_CF02, VP3_VMESS_WS_CF02, VP3_VMESS_WS_CF02, VP3_VMESS_WS_CF02, VP3_VMESS_WS_CF02, VP3_VMESS_WS_CF02, VP3_VMESS_WS_CF02, VP3_VMESS_WS_CF02, VP3_VMESS_WS_CF02, VP3_VMESS_WS_CF02, VP3_VMESS_WS_CF02, VP3_VMESS_WS_CF02, VP3_VMESS_WS_CF02, VP3_VMESS_WS_CF02, VP3_VMESS_WS_CF02, VP3_VMESS_WS_CF02, VP3_VMESS_WS_CF02, VP3_VMESS_WS_CF02, VP3_VMESS_WS_CF02, ], url: 'http://www.gstatic.com/generate_204', interval: 7200 }</v>
      </c>
    </row>
    <row r="24" spans="1:11" x14ac:dyDescent="0.25">
      <c r="F24" s="166" t="s">
        <v>88</v>
      </c>
      <c r="G24" s="166"/>
      <c r="H24" s="166"/>
      <c r="I24" s="166"/>
      <c r="J24" s="166"/>
      <c r="K24" s="166"/>
    </row>
    <row r="25" spans="1:11" x14ac:dyDescent="0.25">
      <c r="C25" s="13" t="s">
        <v>448</v>
      </c>
      <c r="D25" s="13"/>
    </row>
    <row r="26" spans="1:11" ht="4.95" customHeight="1" x14ac:dyDescent="0.25">
      <c r="F26" s="167"/>
      <c r="G26" s="167"/>
      <c r="H26" s="167"/>
    </row>
    <row r="27" spans="1:11" x14ac:dyDescent="0.25">
      <c r="A27" s="165" t="s">
        <v>74</v>
      </c>
      <c r="B27" s="18" t="s">
        <v>37</v>
      </c>
      <c r="C27" s="167" t="s">
        <v>11</v>
      </c>
      <c r="D27" s="167"/>
      <c r="E27" s="167"/>
      <c r="F27" s="167"/>
      <c r="G27" s="167"/>
      <c r="H27" s="167"/>
    </row>
    <row r="28" spans="1:11" ht="4.95" customHeight="1" x14ac:dyDescent="0.25">
      <c r="A28" s="165"/>
      <c r="B28" s="168">
        <v>3</v>
      </c>
    </row>
    <row r="29" spans="1:11" x14ac:dyDescent="0.25">
      <c r="A29" s="165"/>
      <c r="B29" s="168"/>
      <c r="C29" s="7" t="s">
        <v>10</v>
      </c>
      <c r="E29" s="3"/>
    </row>
    <row r="30" spans="1:11" ht="4.95" customHeight="1" x14ac:dyDescent="0.25">
      <c r="A30" s="165"/>
      <c r="B30" s="164" t="s">
        <v>48</v>
      </c>
    </row>
    <row r="31" spans="1:11" x14ac:dyDescent="0.25">
      <c r="A31" s="165"/>
      <c r="B31" s="164"/>
      <c r="C31" s="11" t="s">
        <v>22</v>
      </c>
    </row>
    <row r="32" spans="1:11" x14ac:dyDescent="0.25">
      <c r="A32" s="165"/>
      <c r="B32" s="14">
        <v>22</v>
      </c>
      <c r="C32" s="11" t="s">
        <v>23</v>
      </c>
    </row>
    <row r="33" spans="2:3" x14ac:dyDescent="0.25">
      <c r="C33" s="11" t="s">
        <v>21</v>
      </c>
    </row>
    <row r="34" spans="2:3" ht="4.95" customHeight="1" x14ac:dyDescent="0.25"/>
    <row r="35" spans="2:3" x14ac:dyDescent="0.25">
      <c r="B35" s="15"/>
    </row>
  </sheetData>
  <sheetProtection algorithmName="SHA-512" hashValue="vnwv2/kmckTmdi+g5Utn+hhHrLYYM3ibGbnM9rXctZ5wERYYEEcE0RUuldaE5mC5lCK4FnXiuinlC9iD+tseUQ==" saltValue="WdjevtiYRVfX9z6Aie34lQ==" spinCount="100000" sheet="1" objects="1" scenarios="1"/>
  <protectedRanges>
    <protectedRange sqref="E23" name="区域3"/>
    <protectedRange sqref="B28" name="区域1"/>
    <protectedRange sqref="B32" name="区域2"/>
  </protectedRanges>
  <mergeCells count="7">
    <mergeCell ref="A23:D23"/>
    <mergeCell ref="B30:B31"/>
    <mergeCell ref="A27:A32"/>
    <mergeCell ref="F24:K24"/>
    <mergeCell ref="F26:H26"/>
    <mergeCell ref="C27:H27"/>
    <mergeCell ref="B28:B29"/>
  </mergeCells>
  <phoneticPr fontId="7" type="noConversion"/>
  <dataValidations count="1">
    <dataValidation type="list" allowBlank="1" showInputMessage="1" showErrorMessage="1" sqref="E23" xr:uid="{B7830893-279B-493F-862C-5E5C9DA2ED76}">
      <formula1>"VMESS_WS,Trojan_gRPC,VLESS_WS"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简易（手动）</vt:lpstr>
      <vt:lpstr>节点信息</vt:lpstr>
      <vt:lpstr>优选IP（可查询）</vt:lpstr>
      <vt:lpstr>生成UUID</vt:lpstr>
      <vt:lpstr>域名导入</vt:lpstr>
      <vt:lpstr>建机专用</vt:lpstr>
      <vt:lpstr>PC或火箭</vt:lpstr>
      <vt:lpstr>QUANX</vt:lpstr>
      <vt:lpstr>CLASH</vt:lpstr>
      <vt:lpstr>CLASH (套娃)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Mao</dc:creator>
  <cp:lastModifiedBy>Michael Mao</cp:lastModifiedBy>
  <dcterms:created xsi:type="dcterms:W3CDTF">2023-10-18T09:46:16Z</dcterms:created>
  <dcterms:modified xsi:type="dcterms:W3CDTF">2023-11-24T16:12:17Z</dcterms:modified>
</cp:coreProperties>
</file>